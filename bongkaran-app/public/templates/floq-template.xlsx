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andi.alnotri\Downloads\"/>
    </mc:Choice>
  </mc:AlternateContent>
  <xr:revisionPtr revIDLastSave="0" documentId="8_{E6D5C569-DB7C-4023-BCA8-78005B2A1A26}" xr6:coauthVersionLast="47" xr6:coauthVersionMax="47" xr10:uidLastSave="{00000000-0000-0000-0000-000000000000}"/>
  <bookViews>
    <workbookView xWindow="-110" yWindow="-110" windowWidth="19420" windowHeight="10300" activeTab="1" xr2:uid="{FF93CD11-81EB-418D-9D08-FCF70E39AD8F}"/>
  </bookViews>
  <sheets>
    <sheet name="BERITA ACARA PEMBONGKARAN" sheetId="2" r:id="rId1"/>
    <sheet name="Catatan Persediaan BBM," sheetId="1" r:id="rId2"/>
  </sheets>
  <externalReferences>
    <externalReference r:id="rId3"/>
  </externalReferences>
  <definedNames>
    <definedName name="_xlnm.Print_Area" localSheetId="1">'Catatan Persediaan BBM,'!$A$1:$T$37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7" i="2" l="1"/>
  <c r="B57" i="2"/>
  <c r="L56" i="2"/>
  <c r="B56" i="2"/>
  <c r="L55" i="2"/>
  <c r="B55" i="2"/>
  <c r="L54" i="2"/>
  <c r="B54" i="2"/>
  <c r="L53" i="2"/>
  <c r="B53" i="2"/>
  <c r="L52" i="2"/>
  <c r="L58" i="2" s="1"/>
  <c r="B52" i="2"/>
  <c r="H46" i="2"/>
  <c r="H44" i="2"/>
  <c r="H42" i="2"/>
  <c r="K30" i="2"/>
  <c r="L29" i="2"/>
  <c r="L28" i="2"/>
  <c r="L26" i="2"/>
  <c r="L25" i="2"/>
  <c r="N25" i="2" s="1"/>
  <c r="N30" i="2" s="1"/>
  <c r="L24" i="2"/>
  <c r="N17" i="2"/>
  <c r="M17" i="2"/>
  <c r="L17" i="2"/>
  <c r="K17" i="2"/>
  <c r="H17" i="2"/>
  <c r="G17" i="2"/>
  <c r="L3" i="2"/>
</calcChain>
</file>

<file path=xl/sharedStrings.xml><?xml version="1.0" encoding="utf-8"?>
<sst xmlns="http://schemas.openxmlformats.org/spreadsheetml/2006/main" count="173" uniqueCount="138">
  <si>
    <t>CATATAN PERSEDIAAN BBM</t>
  </si>
  <si>
    <t>No. SPBU :</t>
  </si>
  <si>
    <t>51.651.16</t>
  </si>
  <si>
    <t xml:space="preserve">Produk : </t>
  </si>
  <si>
    <t>DEXLITE</t>
  </si>
  <si>
    <t>No. Tangki :</t>
  </si>
  <si>
    <t>Tanggal</t>
  </si>
  <si>
    <t xml:space="preserve">Awal </t>
  </si>
  <si>
    <t>Penerimaaan</t>
  </si>
  <si>
    <t>Pengeluaran (Akhir)</t>
  </si>
  <si>
    <t>a</t>
  </si>
  <si>
    <t>b</t>
  </si>
  <si>
    <t>c</t>
  </si>
  <si>
    <t>d = c-b</t>
  </si>
  <si>
    <t>e</t>
  </si>
  <si>
    <t>f = a+c-e</t>
  </si>
  <si>
    <t>g</t>
  </si>
  <si>
    <t xml:space="preserve"> h = g-f</t>
  </si>
  <si>
    <t>Shift</t>
  </si>
  <si>
    <t xml:space="preserve">Stock </t>
  </si>
  <si>
    <t>Volume</t>
  </si>
  <si>
    <t xml:space="preserve">Volume </t>
  </si>
  <si>
    <t>Selisih</t>
  </si>
  <si>
    <t>(1/2/3)</t>
  </si>
  <si>
    <t xml:space="preserve">Awal shift </t>
  </si>
  <si>
    <t xml:space="preserve">No. Mobil </t>
  </si>
  <si>
    <t>No. PNBP (DO)</t>
  </si>
  <si>
    <t>sebelum</t>
  </si>
  <si>
    <t>Penerimaan</t>
  </si>
  <si>
    <t xml:space="preserve">penerimaan </t>
  </si>
  <si>
    <t>volume -</t>
  </si>
  <si>
    <t xml:space="preserve">Pengeluaran </t>
  </si>
  <si>
    <t>Stock akhir</t>
  </si>
  <si>
    <t xml:space="preserve">Selisih total </t>
  </si>
  <si>
    <t>Paraf</t>
  </si>
  <si>
    <t>(L)</t>
  </si>
  <si>
    <t>tangki</t>
  </si>
  <si>
    <t>penerimaan</t>
  </si>
  <si>
    <t>PNBP</t>
  </si>
  <si>
    <t>aktual</t>
  </si>
  <si>
    <t>R/L</t>
  </si>
  <si>
    <t>dispenser</t>
  </si>
  <si>
    <t>teoriitis</t>
  </si>
  <si>
    <t>Pengeluaran</t>
  </si>
  <si>
    <t>Spv</t>
  </si>
  <si>
    <t xml:space="preserve"> </t>
  </si>
  <si>
    <t>Catatan :</t>
  </si>
  <si>
    <t>Tolak Pengiriman, Jika :</t>
  </si>
  <si>
    <t>Jangan Lupa Untuk :</t>
  </si>
  <si>
    <t>1. Diisi Setiap Shift</t>
  </si>
  <si>
    <t>1. Pengiriman tidak dilakukan oleh truk</t>
  </si>
  <si>
    <t>1. Uji kualitas</t>
  </si>
  <si>
    <t>2. Nilai diambil dari total pengeluaran dispenser per produk</t>
  </si>
  <si>
    <t xml:space="preserve">   yang berwenang</t>
  </si>
  <si>
    <t>2. Periksa kuantitas</t>
  </si>
  <si>
    <t xml:space="preserve">    (Catatan Penjualan Shift)</t>
  </si>
  <si>
    <t>2. Selisih volume lebih dari 0,15 %</t>
  </si>
  <si>
    <t>3. Simpan sample</t>
  </si>
  <si>
    <t>BERITA ACARA PEMBONGKARAN BBM</t>
  </si>
  <si>
    <t>Nama SPBU</t>
  </si>
  <si>
    <t>:</t>
  </si>
  <si>
    <t>SPBU COCO Sahardjo Kediri</t>
  </si>
  <si>
    <t>Nomor SPBU</t>
  </si>
  <si>
    <t>51.641.16</t>
  </si>
  <si>
    <t>Alamat</t>
  </si>
  <si>
    <t xml:space="preserve">JL Dr Sahardjo III B </t>
  </si>
  <si>
    <t>Pada hari</t>
  </si>
  <si>
    <t>MINGGU</t>
  </si>
  <si>
    <t>tanggal</t>
  </si>
  <si>
    <t>jam</t>
  </si>
  <si>
    <t>06;30</t>
  </si>
  <si>
    <t>Wib,telah menerima BBM jenis</t>
  </si>
  <si>
    <t>PERTAMAX</t>
  </si>
  <si>
    <t>dengan MT Nopol</t>
  </si>
  <si>
    <t>L9403UN</t>
  </si>
  <si>
    <t>Perusahaan pengangkut PT</t>
  </si>
  <si>
    <t>PERTAMINA PATRA NIAGA</t>
  </si>
  <si>
    <t>No. DO :</t>
  </si>
  <si>
    <t>No. SO :</t>
  </si>
  <si>
    <t xml:space="preserve">Pemeriksaan Kualitas BBM/K  </t>
  </si>
  <si>
    <t>Kompartemen 1</t>
  </si>
  <si>
    <t>Kompartemen 2</t>
  </si>
  <si>
    <t>Kompartemen 3</t>
  </si>
  <si>
    <t>Kompartemen 4</t>
  </si>
  <si>
    <t>Kompartemen 5</t>
  </si>
  <si>
    <t>Kompartemen 6</t>
  </si>
  <si>
    <t>a.</t>
  </si>
  <si>
    <t>Density Pengukuran</t>
  </si>
  <si>
    <t>b.</t>
  </si>
  <si>
    <t>Suhu Hasil Pengukuran</t>
  </si>
  <si>
    <t>Density 15 C</t>
  </si>
  <si>
    <t>d.</t>
  </si>
  <si>
    <t>Depot</t>
  </si>
  <si>
    <t>e.</t>
  </si>
  <si>
    <t>Selisih Density (max 0.003)</t>
  </si>
  <si>
    <t>Transport Loss :</t>
  </si>
  <si>
    <t>Keterangan</t>
  </si>
  <si>
    <t>NO SEGEL</t>
  </si>
  <si>
    <t xml:space="preserve">Cek Fisik </t>
  </si>
  <si>
    <t>Buku Tera</t>
  </si>
  <si>
    <t xml:space="preserve">Selisih </t>
  </si>
  <si>
    <t>Kapasitas Kompertemen (Liter)</t>
  </si>
  <si>
    <t>Dipping</t>
  </si>
  <si>
    <t>Tanki</t>
  </si>
  <si>
    <t>( mm )</t>
  </si>
  <si>
    <t>( Liter )</t>
  </si>
  <si>
    <t>T2</t>
  </si>
  <si>
    <t>-</t>
  </si>
  <si>
    <t>Batas toleransi Transport Loss maksimal -0.15% dari Jumlah Penerimaan =</t>
  </si>
  <si>
    <t>TOTAL TRANSPORT LOSS</t>
  </si>
  <si>
    <t>*Total Transport Loss akan menjadi merah apabila melebihi batas toleransi</t>
  </si>
  <si>
    <t>Discharge Loss :</t>
  </si>
  <si>
    <t xml:space="preserve">Keterangan </t>
  </si>
  <si>
    <t>ATG</t>
  </si>
  <si>
    <t>TANGKI 1</t>
  </si>
  <si>
    <t>Level</t>
  </si>
  <si>
    <t>( Cm )</t>
  </si>
  <si>
    <t xml:space="preserve">a. Stock Awal </t>
  </si>
  <si>
    <t>b. Penerimaan DO</t>
  </si>
  <si>
    <t xml:space="preserve">c. Stock Akhir Teoritis </t>
  </si>
  <si>
    <t xml:space="preserve">d. Real Stock </t>
  </si>
  <si>
    <t>e. Selisih</t>
  </si>
  <si>
    <t xml:space="preserve">f. Penjualan </t>
  </si>
  <si>
    <t>g. Discharge Gain/(loss)</t>
  </si>
  <si>
    <t>Penjualan Selama Pembongkaran :</t>
  </si>
  <si>
    <t>Nozzle</t>
  </si>
  <si>
    <t>Totalisati Awal</t>
  </si>
  <si>
    <t>Totalisator Akhir</t>
  </si>
  <si>
    <t xml:space="preserve">Total Penjualan </t>
  </si>
  <si>
    <t>Demikian berita acara ini dibuat untuk dapat dipergunakan sebagaimana mestinya.</t>
  </si>
  <si>
    <t xml:space="preserve">Penerima </t>
  </si>
  <si>
    <t>Security</t>
  </si>
  <si>
    <t>Supir Tangki</t>
  </si>
  <si>
    <t>AREA BUSINESS HEAD</t>
  </si>
  <si>
    <t>AANG</t>
  </si>
  <si>
    <t>ZIDA</t>
  </si>
  <si>
    <t>ANDI WIJAYA</t>
  </si>
  <si>
    <t>ARIANDI ALNOTRI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</si>
</sst>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mmmm\ d\,\ yyyy"/>
    <numFmt numFmtId="165" formatCode="_(* #,##0.000_);_(* \(#,##0.000\);_(* &quot;-&quot;_);_(@_)"/>
    <numFmt numFmtId="166" formatCode="_(* #,##0.00_);_(* \(#,##0.00\);_(* &quot;-&quot;_);_(@_)"/>
    <numFmt numFmtId="167" formatCode="_(* #,##0.0000_);_(* \(#,##0.0000\);_(* &quot;-&quot;_);_(@_)"/>
    <numFmt numFmtId="168" formatCode="#,##0.00\ \L\t\r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36"/>
      <name val="Arial"/>
      <family val="2"/>
    </font>
    <font>
      <b/>
      <sz val="28"/>
      <name val="Arial"/>
      <family val="2"/>
    </font>
    <font>
      <sz val="2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2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6"/>
      <name val="Arial"/>
      <family val="2"/>
    </font>
    <font>
      <b/>
      <sz val="12"/>
      <name val="Arial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7"/>
      <name val="Arial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/>
    <xf numFmtId="0" fontId="6" fillId="3" borderId="0" xfId="0" applyFont="1" applyFill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8" fillId="6" borderId="5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/>
    </xf>
    <xf numFmtId="0" fontId="6" fillId="3" borderId="0" xfId="0" applyFont="1" applyFill="1"/>
    <xf numFmtId="0" fontId="8" fillId="6" borderId="5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6" fillId="0" borderId="10" xfId="0" applyFont="1" applyBorder="1"/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/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9" xfId="0" applyFont="1" applyBorder="1"/>
    <xf numFmtId="0" fontId="6" fillId="0" borderId="8" xfId="0" applyFont="1" applyBorder="1" applyAlignment="1">
      <alignment horizontal="center"/>
    </xf>
    <xf numFmtId="0" fontId="6" fillId="0" borderId="15" xfId="0" applyFont="1" applyBorder="1"/>
    <xf numFmtId="0" fontId="6" fillId="0" borderId="12" xfId="0" applyFont="1" applyBorder="1"/>
    <xf numFmtId="0" fontId="6" fillId="3" borderId="11" xfId="0" applyFont="1" applyFill="1" applyBorder="1"/>
    <xf numFmtId="0" fontId="6" fillId="3" borderId="3" xfId="0" applyFont="1" applyFill="1" applyBorder="1"/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6" xfId="0" applyFont="1" applyFill="1" applyBorder="1"/>
    <xf numFmtId="0" fontId="6" fillId="0" borderId="11" xfId="0" applyFont="1" applyBorder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center"/>
    </xf>
    <xf numFmtId="0" fontId="5" fillId="0" borderId="0" xfId="0" applyFont="1"/>
    <xf numFmtId="0" fontId="10" fillId="0" borderId="0" xfId="0" applyFont="1" applyAlignment="1">
      <alignment vertical="center"/>
    </xf>
    <xf numFmtId="0" fontId="11" fillId="0" borderId="0" xfId="0" applyFont="1"/>
    <xf numFmtId="0" fontId="10" fillId="0" borderId="0" xfId="0" applyFont="1" applyAlignment="1">
      <alignment horizontal="left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" fillId="0" borderId="18" xfId="1" applyBorder="1"/>
    <xf numFmtId="0" fontId="1" fillId="0" borderId="0" xfId="1"/>
    <xf numFmtId="0" fontId="1" fillId="0" borderId="19" xfId="1" applyBorder="1"/>
    <xf numFmtId="0" fontId="13" fillId="0" borderId="0" xfId="1" applyFont="1" applyAlignment="1">
      <alignment horizontal="left"/>
    </xf>
    <xf numFmtId="0" fontId="13" fillId="0" borderId="0" xfId="1" applyFont="1" applyAlignment="1">
      <alignment horizontal="left" indent="15"/>
    </xf>
    <xf numFmtId="0" fontId="1" fillId="0" borderId="20" xfId="1" applyBorder="1"/>
    <xf numFmtId="0" fontId="14" fillId="0" borderId="0" xfId="1" applyFont="1"/>
    <xf numFmtId="43" fontId="0" fillId="0" borderId="21" xfId="2" applyFont="1" applyBorder="1"/>
    <xf numFmtId="0" fontId="1" fillId="0" borderId="21" xfId="1" applyBorder="1"/>
    <xf numFmtId="43" fontId="0" fillId="0" borderId="21" xfId="2" quotePrefix="1" applyFont="1" applyBorder="1"/>
    <xf numFmtId="0" fontId="1" fillId="0" borderId="22" xfId="1" applyBorder="1"/>
    <xf numFmtId="14" fontId="15" fillId="0" borderId="0" xfId="1" applyNumberFormat="1" applyFont="1" applyAlignment="1">
      <alignment horizontal="center"/>
    </xf>
    <xf numFmtId="164" fontId="14" fillId="0" borderId="21" xfId="1" applyNumberFormat="1" applyFont="1" applyBorder="1" applyAlignment="1">
      <alignment horizontal="center"/>
    </xf>
    <xf numFmtId="20" fontId="14" fillId="0" borderId="21" xfId="1" applyNumberFormat="1" applyFont="1" applyBorder="1" applyAlignment="1">
      <alignment horizontal="center"/>
    </xf>
    <xf numFmtId="0" fontId="14" fillId="0" borderId="21" xfId="1" applyFont="1" applyBorder="1" applyAlignment="1">
      <alignment horizontal="center"/>
    </xf>
    <xf numFmtId="43" fontId="14" fillId="0" borderId="21" xfId="2" applyFont="1" applyBorder="1" applyAlignment="1">
      <alignment horizontal="center"/>
    </xf>
    <xf numFmtId="0" fontId="14" fillId="0" borderId="21" xfId="1" applyFont="1" applyBorder="1" applyAlignment="1">
      <alignment horizontal="left"/>
    </xf>
    <xf numFmtId="0" fontId="1" fillId="0" borderId="0" xfId="1" applyAlignment="1">
      <alignment horizontal="center"/>
    </xf>
    <xf numFmtId="0" fontId="14" fillId="0" borderId="22" xfId="1" applyFont="1" applyBorder="1" applyAlignment="1">
      <alignment horizontal="left"/>
    </xf>
    <xf numFmtId="0" fontId="16" fillId="0" borderId="19" xfId="1" applyFont="1" applyBorder="1"/>
    <xf numFmtId="0" fontId="17" fillId="0" borderId="0" xfId="1" applyFont="1"/>
    <xf numFmtId="0" fontId="18" fillId="0" borderId="23" xfId="1" applyFont="1" applyBorder="1" applyAlignment="1">
      <alignment horizontal="center"/>
    </xf>
    <xf numFmtId="0" fontId="18" fillId="0" borderId="24" xfId="1" applyFont="1" applyBorder="1" applyAlignment="1">
      <alignment horizontal="center"/>
    </xf>
    <xf numFmtId="0" fontId="18" fillId="0" borderId="25" xfId="1" applyFont="1" applyBorder="1" applyAlignment="1">
      <alignment horizontal="center"/>
    </xf>
    <xf numFmtId="0" fontId="18" fillId="0" borderId="26" xfId="1" applyFont="1" applyBorder="1" applyAlignment="1">
      <alignment horizontal="center"/>
    </xf>
    <xf numFmtId="165" fontId="19" fillId="0" borderId="27" xfId="3" applyNumberFormat="1" applyFont="1" applyBorder="1"/>
    <xf numFmtId="165" fontId="19" fillId="0" borderId="28" xfId="3" applyNumberFormat="1" applyFont="1" applyBorder="1" applyAlignment="1">
      <alignment horizontal="center"/>
    </xf>
    <xf numFmtId="165" fontId="19" fillId="0" borderId="29" xfId="3" applyNumberFormat="1" applyFont="1" applyBorder="1" applyAlignment="1">
      <alignment horizontal="center"/>
    </xf>
    <xf numFmtId="165" fontId="19" fillId="0" borderId="30" xfId="3" applyNumberFormat="1" applyFont="1" applyBorder="1" applyAlignment="1">
      <alignment horizontal="center"/>
    </xf>
    <xf numFmtId="166" fontId="19" fillId="0" borderId="31" xfId="3" applyNumberFormat="1" applyFont="1" applyBorder="1"/>
    <xf numFmtId="166" fontId="19" fillId="0" borderId="32" xfId="3" applyNumberFormat="1" applyFont="1" applyBorder="1" applyAlignment="1">
      <alignment horizontal="center"/>
    </xf>
    <xf numFmtId="166" fontId="19" fillId="0" borderId="22" xfId="3" applyNumberFormat="1" applyFont="1" applyBorder="1" applyAlignment="1">
      <alignment horizontal="center"/>
    </xf>
    <xf numFmtId="166" fontId="19" fillId="0" borderId="33" xfId="3" applyNumberFormat="1" applyFont="1" applyBorder="1" applyAlignment="1">
      <alignment horizontal="center"/>
    </xf>
    <xf numFmtId="166" fontId="19" fillId="0" borderId="27" xfId="3" applyNumberFormat="1" applyFont="1" applyBorder="1"/>
    <xf numFmtId="167" fontId="19" fillId="0" borderId="31" xfId="3" applyNumberFormat="1" applyFont="1" applyBorder="1"/>
    <xf numFmtId="167" fontId="19" fillId="0" borderId="32" xfId="3" applyNumberFormat="1" applyFont="1" applyBorder="1" applyAlignment="1">
      <alignment horizontal="center"/>
    </xf>
    <xf numFmtId="167" fontId="19" fillId="0" borderId="22" xfId="3" applyNumberFormat="1" applyFont="1" applyBorder="1" applyAlignment="1">
      <alignment horizontal="center"/>
    </xf>
    <xf numFmtId="167" fontId="19" fillId="0" borderId="33" xfId="3" applyNumberFormat="1" applyFont="1" applyBorder="1" applyAlignment="1">
      <alignment horizontal="center"/>
    </xf>
    <xf numFmtId="167" fontId="19" fillId="0" borderId="27" xfId="3" applyNumberFormat="1" applyFont="1" applyBorder="1"/>
    <xf numFmtId="167" fontId="20" fillId="0" borderId="31" xfId="3" applyNumberFormat="1" applyFont="1" applyBorder="1"/>
    <xf numFmtId="167" fontId="20" fillId="0" borderId="32" xfId="3" applyNumberFormat="1" applyFont="1" applyBorder="1" applyAlignment="1">
      <alignment horizontal="center"/>
    </xf>
    <xf numFmtId="167" fontId="20" fillId="0" borderId="22" xfId="3" applyNumberFormat="1" applyFont="1" applyBorder="1" applyAlignment="1">
      <alignment horizontal="center"/>
    </xf>
    <xf numFmtId="167" fontId="20" fillId="0" borderId="33" xfId="3" applyNumberFormat="1" applyFont="1" applyBorder="1" applyAlignment="1">
      <alignment horizontal="center"/>
    </xf>
    <xf numFmtId="0" fontId="14" fillId="0" borderId="16" xfId="1" applyFont="1" applyBorder="1" applyAlignment="1">
      <alignment horizontal="center" vertical="center" wrapText="1"/>
    </xf>
    <xf numFmtId="0" fontId="14" fillId="0" borderId="17" xfId="1" applyFont="1" applyBorder="1" applyAlignment="1">
      <alignment horizontal="center" vertical="center" wrapText="1"/>
    </xf>
    <xf numFmtId="0" fontId="14" fillId="0" borderId="18" xfId="1" applyFont="1" applyBorder="1" applyAlignment="1">
      <alignment horizontal="center" vertical="center" wrapText="1"/>
    </xf>
    <xf numFmtId="0" fontId="14" fillId="0" borderId="34" xfId="1" applyFont="1" applyBorder="1" applyAlignment="1">
      <alignment horizontal="center" vertical="center" wrapText="1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18" xfId="1" applyFont="1" applyBorder="1" applyAlignment="1">
      <alignment horizontal="center" vertical="center"/>
    </xf>
    <xf numFmtId="0" fontId="14" fillId="0" borderId="34" xfId="1" applyFont="1" applyBorder="1" applyAlignment="1">
      <alignment horizontal="center" vertical="center"/>
    </xf>
    <xf numFmtId="0" fontId="14" fillId="0" borderId="34" xfId="1" applyFont="1" applyBorder="1" applyAlignment="1">
      <alignment horizontal="center" vertical="center"/>
    </xf>
    <xf numFmtId="0" fontId="14" fillId="0" borderId="19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4" fillId="0" borderId="20" xfId="1" applyFont="1" applyBorder="1" applyAlignment="1">
      <alignment horizontal="center" vertical="center" wrapText="1"/>
    </xf>
    <xf numFmtId="0" fontId="14" fillId="0" borderId="35" xfId="1" applyFont="1" applyBorder="1" applyAlignment="1">
      <alignment horizontal="center" vertical="center" wrapText="1"/>
    </xf>
    <xf numFmtId="0" fontId="14" fillId="0" borderId="19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20" xfId="1" applyFont="1" applyBorder="1" applyAlignment="1">
      <alignment horizontal="center" vertical="center"/>
    </xf>
    <xf numFmtId="0" fontId="14" fillId="0" borderId="35" xfId="1" applyFont="1" applyBorder="1" applyAlignment="1">
      <alignment horizontal="center" vertical="center"/>
    </xf>
    <xf numFmtId="0" fontId="14" fillId="0" borderId="35" xfId="1" applyFont="1" applyBorder="1" applyAlignment="1">
      <alignment horizontal="center" vertical="center"/>
    </xf>
    <xf numFmtId="0" fontId="14" fillId="0" borderId="36" xfId="1" applyFont="1" applyBorder="1" applyAlignment="1">
      <alignment horizontal="center" vertical="center" wrapText="1"/>
    </xf>
    <xf numFmtId="0" fontId="14" fillId="0" borderId="37" xfId="1" applyFont="1" applyBorder="1" applyAlignment="1">
      <alignment horizontal="center" vertical="center" wrapText="1"/>
    </xf>
    <xf numFmtId="0" fontId="14" fillId="0" borderId="38" xfId="1" applyFont="1" applyBorder="1" applyAlignment="1">
      <alignment horizontal="center" vertical="center" wrapText="1"/>
    </xf>
    <xf numFmtId="0" fontId="14" fillId="0" borderId="39" xfId="1" applyFont="1" applyBorder="1" applyAlignment="1">
      <alignment horizontal="center" vertical="center" wrapText="1"/>
    </xf>
    <xf numFmtId="0" fontId="14" fillId="0" borderId="36" xfId="1" applyFont="1" applyBorder="1" applyAlignment="1">
      <alignment horizontal="center" vertical="center"/>
    </xf>
    <xf numFmtId="0" fontId="14" fillId="0" borderId="37" xfId="1" applyFont="1" applyBorder="1" applyAlignment="1">
      <alignment horizontal="center" vertical="center"/>
    </xf>
    <xf numFmtId="0" fontId="14" fillId="0" borderId="38" xfId="1" applyFont="1" applyBorder="1" applyAlignment="1">
      <alignment horizontal="center" vertical="center"/>
    </xf>
    <xf numFmtId="0" fontId="14" fillId="0" borderId="39" xfId="1" applyFont="1" applyBorder="1" applyAlignment="1">
      <alignment horizontal="center" vertical="center"/>
    </xf>
    <xf numFmtId="0" fontId="14" fillId="0" borderId="39" xfId="1" applyFont="1" applyBorder="1" applyAlignment="1">
      <alignment horizontal="center"/>
    </xf>
    <xf numFmtId="0" fontId="21" fillId="0" borderId="19" xfId="1" applyFont="1" applyBorder="1"/>
    <xf numFmtId="0" fontId="21" fillId="0" borderId="0" xfId="1" applyFont="1"/>
    <xf numFmtId="0" fontId="21" fillId="0" borderId="22" xfId="1" applyFont="1" applyBorder="1" applyAlignment="1">
      <alignment horizontal="center"/>
    </xf>
    <xf numFmtId="0" fontId="21" fillId="0" borderId="33" xfId="1" applyFont="1" applyBorder="1" applyAlignment="1">
      <alignment horizontal="center"/>
    </xf>
    <xf numFmtId="0" fontId="21" fillId="0" borderId="40" xfId="1" applyFont="1" applyBorder="1"/>
    <xf numFmtId="43" fontId="22" fillId="0" borderId="28" xfId="2" applyFont="1" applyBorder="1" applyAlignment="1">
      <alignment horizontal="center"/>
    </xf>
    <xf numFmtId="43" fontId="22" fillId="0" borderId="29" xfId="2" applyFont="1" applyBorder="1" applyAlignment="1">
      <alignment horizontal="center"/>
    </xf>
    <xf numFmtId="43" fontId="22" fillId="0" borderId="30" xfId="2" applyFont="1" applyBorder="1" applyAlignment="1">
      <alignment horizontal="center"/>
    </xf>
    <xf numFmtId="43" fontId="22" fillId="0" borderId="27" xfId="2" applyFont="1" applyBorder="1"/>
    <xf numFmtId="166" fontId="22" fillId="0" borderId="31" xfId="3" applyNumberFormat="1" applyFont="1" applyBorder="1" applyAlignment="1">
      <alignment horizontal="center"/>
    </xf>
    <xf numFmtId="41" fontId="21" fillId="0" borderId="27" xfId="3" applyFont="1" applyBorder="1"/>
    <xf numFmtId="166" fontId="21" fillId="0" borderId="27" xfId="3" applyNumberFormat="1" applyFont="1" applyBorder="1"/>
    <xf numFmtId="0" fontId="21" fillId="0" borderId="32" xfId="1" applyFont="1" applyBorder="1"/>
    <xf numFmtId="0" fontId="21" fillId="0" borderId="22" xfId="1" applyFont="1" applyBorder="1"/>
    <xf numFmtId="43" fontId="22" fillId="0" borderId="32" xfId="2" applyFont="1" applyBorder="1" applyAlignment="1">
      <alignment horizontal="center"/>
    </xf>
    <xf numFmtId="43" fontId="22" fillId="0" borderId="22" xfId="2" applyFont="1" applyBorder="1" applyAlignment="1">
      <alignment horizontal="center"/>
    </xf>
    <xf numFmtId="43" fontId="22" fillId="0" borderId="33" xfId="2" applyFont="1" applyBorder="1" applyAlignment="1">
      <alignment horizontal="center"/>
    </xf>
    <xf numFmtId="43" fontId="22" fillId="0" borderId="31" xfId="2" applyFont="1" applyBorder="1"/>
    <xf numFmtId="165" fontId="21" fillId="0" borderId="31" xfId="3" applyNumberFormat="1" applyFont="1" applyBorder="1"/>
    <xf numFmtId="0" fontId="21" fillId="0" borderId="17" xfId="1" applyFont="1" applyBorder="1"/>
    <xf numFmtId="43" fontId="22" fillId="0" borderId="32" xfId="2" applyFont="1" applyFill="1" applyBorder="1" applyAlignment="1">
      <alignment horizontal="center"/>
    </xf>
    <xf numFmtId="43" fontId="22" fillId="0" borderId="22" xfId="2" applyFont="1" applyFill="1" applyBorder="1" applyAlignment="1">
      <alignment horizontal="center"/>
    </xf>
    <xf numFmtId="43" fontId="22" fillId="0" borderId="33" xfId="2" applyFont="1" applyFill="1" applyBorder="1" applyAlignment="1">
      <alignment horizontal="center"/>
    </xf>
    <xf numFmtId="43" fontId="22" fillId="0" borderId="31" xfId="2" applyFont="1" applyFill="1" applyBorder="1"/>
    <xf numFmtId="165" fontId="21" fillId="0" borderId="31" xfId="1" applyNumberFormat="1" applyFont="1" applyBorder="1"/>
    <xf numFmtId="168" fontId="1" fillId="0" borderId="0" xfId="1" applyNumberFormat="1" applyAlignment="1">
      <alignment horizontal="left"/>
    </xf>
    <xf numFmtId="0" fontId="23" fillId="0" borderId="32" xfId="1" applyFont="1" applyBorder="1" applyAlignment="1">
      <alignment horizontal="center"/>
    </xf>
    <xf numFmtId="0" fontId="23" fillId="0" borderId="33" xfId="1" applyFont="1" applyBorder="1" applyAlignment="1">
      <alignment horizontal="center"/>
    </xf>
    <xf numFmtId="39" fontId="24" fillId="0" borderId="31" xfId="3" applyNumberFormat="1" applyFont="1" applyBorder="1"/>
    <xf numFmtId="0" fontId="25" fillId="0" borderId="17" xfId="1" applyFont="1" applyBorder="1" applyAlignment="1">
      <alignment horizontal="left" vertical="top" wrapText="1"/>
    </xf>
    <xf numFmtId="0" fontId="21" fillId="0" borderId="0" xfId="1" applyFont="1" applyAlignment="1">
      <alignment horizontal="center"/>
    </xf>
    <xf numFmtId="0" fontId="16" fillId="0" borderId="0" xfId="1" applyFont="1"/>
    <xf numFmtId="41" fontId="23" fillId="0" borderId="31" xfId="3" applyFont="1" applyBorder="1" applyAlignment="1">
      <alignment horizontal="center" vertical="center"/>
    </xf>
    <xf numFmtId="0" fontId="14" fillId="0" borderId="0" xfId="1" applyFont="1" applyAlignment="1">
      <alignment vertical="center"/>
    </xf>
    <xf numFmtId="0" fontId="14" fillId="0" borderId="41" xfId="1" applyFont="1" applyBorder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14" fillId="0" borderId="40" xfId="1" applyFont="1" applyBorder="1" applyAlignment="1">
      <alignment horizontal="center" vertical="center"/>
    </xf>
    <xf numFmtId="0" fontId="14" fillId="0" borderId="32" xfId="1" applyFont="1" applyBorder="1" applyAlignment="1">
      <alignment horizontal="center" vertical="center"/>
    </xf>
    <xf numFmtId="0" fontId="14" fillId="0" borderId="22" xfId="1" applyFont="1" applyBorder="1" applyAlignment="1">
      <alignment horizontal="center" vertical="center"/>
    </xf>
    <xf numFmtId="0" fontId="14" fillId="0" borderId="33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41" fontId="23" fillId="0" borderId="23" xfId="3" applyFont="1" applyBorder="1" applyAlignment="1">
      <alignment horizontal="center" vertical="center"/>
    </xf>
    <xf numFmtId="41" fontId="19" fillId="0" borderId="27" xfId="3" applyFont="1" applyBorder="1" applyAlignment="1">
      <alignment horizontal="left" vertical="center"/>
    </xf>
    <xf numFmtId="166" fontId="19" fillId="0" borderId="41" xfId="3" applyNumberFormat="1" applyFont="1" applyBorder="1" applyAlignment="1">
      <alignment horizontal="center" vertical="center"/>
    </xf>
    <xf numFmtId="166" fontId="19" fillId="0" borderId="40" xfId="3" applyNumberFormat="1" applyFont="1" applyBorder="1" applyAlignment="1">
      <alignment horizontal="center" vertical="center"/>
    </xf>
    <xf numFmtId="166" fontId="19" fillId="0" borderId="41" xfId="3" applyNumberFormat="1" applyFont="1" applyBorder="1" applyAlignment="1">
      <alignment horizontal="left" vertical="center"/>
    </xf>
    <xf numFmtId="166" fontId="19" fillId="0" borderId="21" xfId="3" applyNumberFormat="1" applyFont="1" applyBorder="1" applyAlignment="1">
      <alignment horizontal="left" vertical="center"/>
    </xf>
    <xf numFmtId="166" fontId="19" fillId="0" borderId="40" xfId="3" applyNumberFormat="1" applyFont="1" applyBorder="1" applyAlignment="1">
      <alignment horizontal="left" vertical="center"/>
    </xf>
    <xf numFmtId="166" fontId="19" fillId="0" borderId="0" xfId="3" applyNumberFormat="1" applyFont="1" applyBorder="1" applyAlignment="1">
      <alignment horizontal="center" vertical="center"/>
    </xf>
    <xf numFmtId="166" fontId="21" fillId="0" borderId="0" xfId="3" applyNumberFormat="1" applyFont="1" applyBorder="1" applyAlignment="1">
      <alignment horizontal="left" vertical="center"/>
    </xf>
    <xf numFmtId="41" fontId="19" fillId="0" borderId="31" xfId="3" applyFont="1" applyBorder="1" applyAlignment="1">
      <alignment horizontal="left" vertical="center"/>
    </xf>
    <xf numFmtId="166" fontId="19" fillId="0" borderId="32" xfId="3" applyNumberFormat="1" applyFont="1" applyBorder="1" applyAlignment="1">
      <alignment horizontal="center" vertical="center"/>
    </xf>
    <xf numFmtId="166" fontId="19" fillId="0" borderId="33" xfId="3" applyNumberFormat="1" applyFont="1" applyBorder="1" applyAlignment="1">
      <alignment horizontal="center" vertical="center"/>
    </xf>
    <xf numFmtId="166" fontId="19" fillId="0" borderId="32" xfId="3" applyNumberFormat="1" applyFont="1" applyBorder="1" applyAlignment="1">
      <alignment horizontal="left" vertical="center"/>
    </xf>
    <xf numFmtId="166" fontId="19" fillId="0" borderId="22" xfId="3" applyNumberFormat="1" applyFont="1" applyBorder="1" applyAlignment="1">
      <alignment horizontal="left" vertical="center"/>
    </xf>
    <xf numFmtId="166" fontId="19" fillId="0" borderId="33" xfId="3" applyNumberFormat="1" applyFont="1" applyBorder="1" applyAlignment="1">
      <alignment horizontal="left" vertical="center"/>
    </xf>
    <xf numFmtId="166" fontId="14" fillId="0" borderId="32" xfId="3" applyNumberFormat="1" applyFont="1" applyBorder="1" applyAlignment="1">
      <alignment horizontal="center" vertical="center"/>
    </xf>
    <xf numFmtId="166" fontId="14" fillId="0" borderId="33" xfId="3" applyNumberFormat="1" applyFont="1" applyBorder="1" applyAlignment="1">
      <alignment horizontal="center" vertical="center"/>
    </xf>
    <xf numFmtId="166" fontId="14" fillId="0" borderId="32" xfId="3" applyNumberFormat="1" applyFont="1" applyBorder="1" applyAlignment="1">
      <alignment horizontal="left" vertical="center"/>
    </xf>
    <xf numFmtId="166" fontId="14" fillId="0" borderId="22" xfId="3" applyNumberFormat="1" applyFont="1" applyBorder="1" applyAlignment="1">
      <alignment horizontal="left" vertical="center"/>
    </xf>
    <xf numFmtId="166" fontId="14" fillId="0" borderId="33" xfId="3" applyNumberFormat="1" applyFont="1" applyBorder="1" applyAlignment="1">
      <alignment horizontal="left" vertical="center"/>
    </xf>
    <xf numFmtId="166" fontId="14" fillId="0" borderId="0" xfId="3" applyNumberFormat="1" applyFont="1" applyBorder="1" applyAlignment="1">
      <alignment horizontal="center" vertical="center"/>
    </xf>
    <xf numFmtId="166" fontId="23" fillId="0" borderId="0" xfId="3" applyNumberFormat="1" applyFont="1" applyBorder="1" applyAlignment="1">
      <alignment horizontal="left" vertical="center"/>
    </xf>
    <xf numFmtId="0" fontId="14" fillId="0" borderId="23" xfId="1" applyFont="1" applyBorder="1" applyAlignment="1">
      <alignment horizontal="center"/>
    </xf>
    <xf numFmtId="0" fontId="26" fillId="0" borderId="23" xfId="1" applyFont="1" applyBorder="1" applyAlignment="1">
      <alignment horizontal="center"/>
    </xf>
    <xf numFmtId="43" fontId="19" fillId="0" borderId="27" xfId="2" applyFont="1" applyBorder="1" applyAlignment="1">
      <alignment horizontal="center"/>
    </xf>
    <xf numFmtId="165" fontId="19" fillId="0" borderId="41" xfId="3" applyNumberFormat="1" applyFont="1" applyBorder="1" applyAlignment="1">
      <alignment horizontal="center"/>
    </xf>
    <xf numFmtId="165" fontId="19" fillId="0" borderId="21" xfId="3" applyNumberFormat="1" applyFont="1" applyBorder="1" applyAlignment="1">
      <alignment horizontal="center"/>
    </xf>
    <xf numFmtId="165" fontId="19" fillId="0" borderId="40" xfId="3" applyNumberFormat="1" applyFont="1" applyBorder="1" applyAlignment="1">
      <alignment horizontal="center"/>
    </xf>
    <xf numFmtId="166" fontId="20" fillId="0" borderId="28" xfId="3" applyNumberFormat="1" applyFont="1" applyBorder="1" applyAlignment="1">
      <alignment horizontal="right"/>
    </xf>
    <xf numFmtId="166" fontId="20" fillId="0" borderId="30" xfId="3" applyNumberFormat="1" applyFont="1" applyBorder="1" applyAlignment="1">
      <alignment horizontal="right"/>
    </xf>
    <xf numFmtId="166" fontId="20" fillId="0" borderId="32" xfId="3" applyNumberFormat="1" applyFont="1" applyBorder="1" applyAlignment="1">
      <alignment horizontal="right"/>
    </xf>
    <xf numFmtId="166" fontId="20" fillId="0" borderId="33" xfId="3" applyNumberFormat="1" applyFont="1" applyBorder="1" applyAlignment="1">
      <alignment horizontal="right"/>
    </xf>
    <xf numFmtId="165" fontId="19" fillId="0" borderId="32" xfId="3" applyNumberFormat="1" applyFont="1" applyBorder="1" applyAlignment="1">
      <alignment horizontal="center"/>
    </xf>
    <xf numFmtId="165" fontId="19" fillId="0" borderId="22" xfId="3" applyNumberFormat="1" applyFont="1" applyBorder="1" applyAlignment="1">
      <alignment horizontal="center"/>
    </xf>
    <xf numFmtId="165" fontId="19" fillId="0" borderId="33" xfId="3" applyNumberFormat="1" applyFont="1" applyBorder="1" applyAlignment="1">
      <alignment horizontal="center"/>
    </xf>
    <xf numFmtId="0" fontId="19" fillId="0" borderId="32" xfId="1" applyFont="1" applyBorder="1" applyAlignment="1">
      <alignment horizontal="center"/>
    </xf>
    <xf numFmtId="0" fontId="19" fillId="0" borderId="22" xfId="1" applyFont="1" applyBorder="1" applyAlignment="1">
      <alignment horizontal="center"/>
    </xf>
    <xf numFmtId="0" fontId="19" fillId="0" borderId="33" xfId="1" applyFont="1" applyBorder="1" applyAlignment="1">
      <alignment horizontal="center"/>
    </xf>
    <xf numFmtId="166" fontId="26" fillId="0" borderId="32" xfId="3" applyNumberFormat="1" applyFont="1" applyBorder="1" applyAlignment="1">
      <alignment horizontal="right"/>
    </xf>
    <xf numFmtId="166" fontId="26" fillId="0" borderId="33" xfId="3" applyNumberFormat="1" applyFont="1" applyBorder="1" applyAlignment="1">
      <alignment horizontal="right"/>
    </xf>
    <xf numFmtId="0" fontId="1" fillId="0" borderId="19" xfId="1" applyBorder="1" applyAlignment="1">
      <alignment horizontal="left"/>
    </xf>
    <xf numFmtId="0" fontId="14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0" fontId="1" fillId="0" borderId="41" xfId="1" applyBorder="1"/>
    <xf numFmtId="0" fontId="1" fillId="0" borderId="40" xfId="1" applyBorder="1"/>
  </cellXfs>
  <cellStyles count="4">
    <cellStyle name="Comma [0] 2" xfId="3" xr:uid="{F2EC6349-7ABA-48A2-899A-D7910002D6C2}"/>
    <cellStyle name="Comma 2" xfId="2" xr:uid="{80A00C07-78C5-4848-AA06-BECC8E986781}"/>
    <cellStyle name="Normal" xfId="0" builtinId="0"/>
    <cellStyle name="Normal 2" xfId="1" xr:uid="{D02D3E29-A5CF-45DB-BFA2-A1B102BB3DEB}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330200</xdr:colOff>
      <xdr:row>3</xdr:row>
      <xdr:rowOff>158750</xdr:rowOff>
    </xdr:from>
    <xdr:to>
      <xdr:col>16</xdr:col>
      <xdr:colOff>1358900</xdr:colOff>
      <xdr:row>3</xdr:row>
      <xdr:rowOff>571500</xdr:rowOff>
    </xdr:to>
    <xdr:pic>
      <xdr:nvPicPr>
        <xdr:cNvPr id="2" name="Picture 8" descr="Pertamina Slogan">
          <a:extLst>
            <a:ext uri="{FF2B5EF4-FFF2-40B4-BE49-F238E27FC236}">
              <a16:creationId xmlns:a16="http://schemas.microsoft.com/office/drawing/2014/main" id="{6EC45D18-F2B3-41C3-80C0-CE3152EC5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7900" y="698500"/>
          <a:ext cx="2965450" cy="41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82550</xdr:colOff>
      <xdr:row>31</xdr:row>
      <xdr:rowOff>114300</xdr:rowOff>
    </xdr:from>
    <xdr:to>
      <xdr:col>8</xdr:col>
      <xdr:colOff>1816100</xdr:colOff>
      <xdr:row>34</xdr:row>
      <xdr:rowOff>285750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A1B0305-AC8F-4AF2-8AA4-86F68D1CE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7750" y="13582650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279400</xdr:colOff>
      <xdr:row>31</xdr:row>
      <xdr:rowOff>152400</xdr:rowOff>
    </xdr:from>
    <xdr:to>
      <xdr:col>14</xdr:col>
      <xdr:colOff>1619250</xdr:colOff>
      <xdr:row>34</xdr:row>
      <xdr:rowOff>247650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BFF2FB23-824E-4BD5-9BBB-EA25C9732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00" t="2911" r="13000" b="2428"/>
        <a:stretch>
          <a:fillRect/>
        </a:stretch>
      </xdr:blipFill>
      <xdr:spPr bwMode="auto">
        <a:xfrm>
          <a:off x="19310350" y="13620750"/>
          <a:ext cx="1339850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LAPORAN%20BONGKAR%202026\LAPORAN%20BONGKAR%20MEI%202026.xlsx" TargetMode="External"/><Relationship Id="rId1" Type="http://schemas.openxmlformats.org/officeDocument/2006/relationships/externalLinkPath" Target="file:///E:\LAPORAN%20BONGKAR%202026\LAPORAN%20BONGKAR%20MEI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4"/>
      <sheetName val="13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0"/>
      <sheetName val="30"/>
      <sheetName val="31"/>
      <sheetName val="cdg"/>
      <sheetName val="Sheet1"/>
    </sheetNames>
    <sheetDataSet>
      <sheetData sheetId="0">
        <row r="3">
          <cell r="L3" t="str">
            <v>Form : F 003 / OPR</v>
          </cell>
        </row>
        <row r="52">
          <cell r="B52" t="str">
            <v>Nozzle</v>
          </cell>
        </row>
        <row r="53">
          <cell r="B53" t="str">
            <v>Nozzle 3</v>
          </cell>
        </row>
        <row r="54">
          <cell r="B54" t="str">
            <v>Nozzle 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6E10-8AD7-4E6E-BBB1-460362B5E760}">
  <dimension ref="B1:O69"/>
  <sheetViews>
    <sheetView zoomScale="69" zoomScaleNormal="57" workbookViewId="0">
      <selection activeCell="L3" sqref="L3"/>
    </sheetView>
  </sheetViews>
  <sheetFormatPr defaultRowHeight="14.5" x14ac:dyDescent="0.35"/>
  <cols>
    <col min="1" max="5" width="8.7265625" style="87"/>
    <col min="6" max="6" width="3.1796875" style="87" customWidth="1"/>
    <col min="7" max="7" width="17.81640625" style="87" customWidth="1"/>
    <col min="8" max="9" width="8.7265625" style="87"/>
    <col min="10" max="10" width="2.54296875" style="87" customWidth="1"/>
    <col min="11" max="11" width="23.08984375" style="87" customWidth="1"/>
    <col min="12" max="12" width="18.1796875" style="87" bestFit="1" customWidth="1"/>
    <col min="13" max="13" width="20" style="87" customWidth="1"/>
    <col min="14" max="14" width="16.1796875" style="87" customWidth="1"/>
    <col min="15" max="16384" width="8.7265625" style="87"/>
  </cols>
  <sheetData>
    <row r="1" spans="2:15" ht="15.5" x14ac:dyDescent="0.35">
      <c r="B1" s="84" t="s">
        <v>58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6"/>
    </row>
    <row r="2" spans="2:15" ht="15.5" x14ac:dyDescent="0.35">
      <c r="B2" s="88"/>
      <c r="L2" s="89"/>
      <c r="M2" s="89"/>
      <c r="N2" s="90"/>
      <c r="O2" s="91"/>
    </row>
    <row r="3" spans="2:15" ht="15.5" x14ac:dyDescent="0.35">
      <c r="B3" s="88" t="s">
        <v>59</v>
      </c>
      <c r="F3" s="92" t="s">
        <v>60</v>
      </c>
      <c r="G3" s="93" t="s">
        <v>61</v>
      </c>
      <c r="H3" s="94"/>
      <c r="I3" s="94"/>
      <c r="J3" s="94"/>
      <c r="L3" s="89" t="str">
        <f>'[1]1'!L3</f>
        <v>Form : F 003 / OPR</v>
      </c>
      <c r="M3" s="89"/>
      <c r="N3" s="90"/>
      <c r="O3" s="91"/>
    </row>
    <row r="4" spans="2:15" x14ac:dyDescent="0.35">
      <c r="B4" s="88" t="s">
        <v>62</v>
      </c>
      <c r="F4" s="92" t="s">
        <v>60</v>
      </c>
      <c r="G4" s="95" t="s">
        <v>63</v>
      </c>
      <c r="H4" s="96"/>
      <c r="I4" s="96"/>
      <c r="J4" s="96"/>
      <c r="O4" s="91"/>
    </row>
    <row r="5" spans="2:15" x14ac:dyDescent="0.35">
      <c r="B5" s="88" t="s">
        <v>64</v>
      </c>
      <c r="F5" s="92" t="s">
        <v>60</v>
      </c>
      <c r="G5" s="93" t="s">
        <v>65</v>
      </c>
      <c r="H5" s="96"/>
      <c r="I5" s="96"/>
      <c r="J5" s="96"/>
      <c r="O5" s="91"/>
    </row>
    <row r="6" spans="2:15" x14ac:dyDescent="0.35">
      <c r="B6" s="88"/>
      <c r="O6" s="91"/>
    </row>
    <row r="7" spans="2:15" x14ac:dyDescent="0.35">
      <c r="B7" s="88" t="s">
        <v>66</v>
      </c>
      <c r="C7" s="97" t="s">
        <v>67</v>
      </c>
      <c r="D7" s="97"/>
      <c r="E7" s="87" t="s">
        <v>68</v>
      </c>
      <c r="F7" s="98">
        <v>46173</v>
      </c>
      <c r="G7" s="98"/>
      <c r="H7" s="87" t="s">
        <v>69</v>
      </c>
      <c r="I7" s="99" t="s">
        <v>70</v>
      </c>
      <c r="J7" s="100"/>
      <c r="K7" s="87" t="s">
        <v>71</v>
      </c>
      <c r="M7" s="101" t="s">
        <v>72</v>
      </c>
      <c r="O7" s="91"/>
    </row>
    <row r="8" spans="2:15" x14ac:dyDescent="0.35">
      <c r="B8" s="88" t="s">
        <v>73</v>
      </c>
      <c r="E8" s="100" t="s">
        <v>74</v>
      </c>
      <c r="F8" s="100"/>
      <c r="G8" s="87" t="s">
        <v>75</v>
      </c>
      <c r="J8" s="102" t="s">
        <v>76</v>
      </c>
      <c r="K8" s="102"/>
      <c r="O8" s="91"/>
    </row>
    <row r="9" spans="2:15" x14ac:dyDescent="0.35">
      <c r="B9" s="88" t="s">
        <v>77</v>
      </c>
      <c r="D9" s="102">
        <v>8139395088</v>
      </c>
      <c r="E9" s="102"/>
      <c r="F9" s="103"/>
      <c r="O9" s="91"/>
    </row>
    <row r="10" spans="2:15" x14ac:dyDescent="0.35">
      <c r="B10" s="88" t="s">
        <v>78</v>
      </c>
      <c r="D10" s="104">
        <v>4061716844</v>
      </c>
      <c r="E10" s="104"/>
      <c r="F10" s="103"/>
      <c r="O10" s="91"/>
    </row>
    <row r="11" spans="2:15" x14ac:dyDescent="0.35">
      <c r="B11" s="88"/>
      <c r="O11" s="91"/>
    </row>
    <row r="12" spans="2:15" ht="15" thickBot="1" x14ac:dyDescent="0.4">
      <c r="B12" s="105" t="s">
        <v>79</v>
      </c>
      <c r="C12" s="106"/>
      <c r="D12" s="106"/>
      <c r="E12" s="106"/>
      <c r="F12" s="106"/>
      <c r="G12" s="107" t="s">
        <v>80</v>
      </c>
      <c r="H12" s="108" t="s">
        <v>81</v>
      </c>
      <c r="I12" s="109"/>
      <c r="J12" s="110"/>
      <c r="K12" s="107" t="s">
        <v>82</v>
      </c>
      <c r="L12" s="107" t="s">
        <v>83</v>
      </c>
      <c r="M12" s="107" t="s">
        <v>84</v>
      </c>
      <c r="N12" s="107" t="s">
        <v>85</v>
      </c>
      <c r="O12" s="91"/>
    </row>
    <row r="13" spans="2:15" ht="15" thickTop="1" x14ac:dyDescent="0.35">
      <c r="B13" s="88" t="s">
        <v>86</v>
      </c>
      <c r="C13" s="87" t="s">
        <v>87</v>
      </c>
      <c r="F13" s="87" t="s">
        <v>60</v>
      </c>
      <c r="G13" s="111"/>
      <c r="H13" s="112">
        <v>0</v>
      </c>
      <c r="I13" s="113"/>
      <c r="J13" s="114"/>
      <c r="K13" s="111">
        <v>0.73399999999999999</v>
      </c>
      <c r="L13" s="111"/>
      <c r="M13" s="111"/>
      <c r="N13" s="111"/>
      <c r="O13" s="91"/>
    </row>
    <row r="14" spans="2:15" x14ac:dyDescent="0.35">
      <c r="B14" s="88" t="s">
        <v>88</v>
      </c>
      <c r="C14" s="87" t="s">
        <v>89</v>
      </c>
      <c r="F14" s="87" t="s">
        <v>60</v>
      </c>
      <c r="G14" s="115"/>
      <c r="H14" s="116">
        <v>0</v>
      </c>
      <c r="I14" s="117"/>
      <c r="J14" s="118"/>
      <c r="K14" s="119">
        <v>29</v>
      </c>
      <c r="L14" s="119"/>
      <c r="M14" s="119"/>
      <c r="N14" s="119"/>
      <c r="O14" s="91"/>
    </row>
    <row r="15" spans="2:15" x14ac:dyDescent="0.35">
      <c r="B15" s="88" t="s">
        <v>12</v>
      </c>
      <c r="C15" s="87" t="s">
        <v>90</v>
      </c>
      <c r="F15" s="87" t="s">
        <v>60</v>
      </c>
      <c r="G15" s="120"/>
      <c r="H15" s="121">
        <v>0</v>
      </c>
      <c r="I15" s="122"/>
      <c r="J15" s="123"/>
      <c r="K15" s="124">
        <v>0.74519999999999997</v>
      </c>
      <c r="L15" s="124"/>
      <c r="M15" s="124"/>
      <c r="N15" s="124"/>
      <c r="O15" s="91"/>
    </row>
    <row r="16" spans="2:15" x14ac:dyDescent="0.35">
      <c r="B16" s="88" t="s">
        <v>91</v>
      </c>
      <c r="C16" s="87" t="s">
        <v>92</v>
      </c>
      <c r="F16" s="87" t="s">
        <v>60</v>
      </c>
      <c r="G16" s="125"/>
      <c r="H16" s="126">
        <v>0</v>
      </c>
      <c r="I16" s="127"/>
      <c r="J16" s="128"/>
      <c r="K16" s="124">
        <v>0.74539999999999995</v>
      </c>
      <c r="L16" s="124"/>
      <c r="M16" s="124"/>
      <c r="N16" s="124"/>
      <c r="O16" s="91"/>
    </row>
    <row r="17" spans="2:15" x14ac:dyDescent="0.35">
      <c r="B17" s="88" t="s">
        <v>93</v>
      </c>
      <c r="C17" s="87" t="s">
        <v>94</v>
      </c>
      <c r="F17" s="87" t="s">
        <v>60</v>
      </c>
      <c r="G17" s="125">
        <f>G15-G16</f>
        <v>0</v>
      </c>
      <c r="H17" s="126">
        <f>H15-H16</f>
        <v>0</v>
      </c>
      <c r="I17" s="127"/>
      <c r="J17" s="128"/>
      <c r="K17" s="125">
        <f>K15-K16</f>
        <v>-1.9999999999997797E-4</v>
      </c>
      <c r="L17" s="125">
        <f>L15-L16</f>
        <v>0</v>
      </c>
      <c r="M17" s="125">
        <f>M15-M16</f>
        <v>0</v>
      </c>
      <c r="N17" s="125">
        <f>N15-N16</f>
        <v>0</v>
      </c>
      <c r="O17" s="91"/>
    </row>
    <row r="18" spans="2:15" x14ac:dyDescent="0.35">
      <c r="B18" s="88"/>
      <c r="O18" s="91"/>
    </row>
    <row r="19" spans="2:15" x14ac:dyDescent="0.35">
      <c r="B19" s="105" t="s">
        <v>95</v>
      </c>
      <c r="C19" s="106"/>
      <c r="D19" s="106"/>
      <c r="E19" s="106"/>
      <c r="F19" s="106"/>
      <c r="O19" s="91"/>
    </row>
    <row r="20" spans="2:15" x14ac:dyDescent="0.35">
      <c r="B20" s="88"/>
      <c r="O20" s="91"/>
    </row>
    <row r="21" spans="2:15" x14ac:dyDescent="0.35">
      <c r="B21" s="88"/>
      <c r="C21" s="129" t="s">
        <v>96</v>
      </c>
      <c r="D21" s="130"/>
      <c r="E21" s="130"/>
      <c r="F21" s="131"/>
      <c r="G21" s="132" t="s">
        <v>97</v>
      </c>
      <c r="H21" s="133" t="s">
        <v>98</v>
      </c>
      <c r="I21" s="134"/>
      <c r="J21" s="135"/>
      <c r="K21" s="136" t="s">
        <v>99</v>
      </c>
      <c r="L21" s="137" t="s">
        <v>100</v>
      </c>
      <c r="M21" s="132" t="s">
        <v>101</v>
      </c>
      <c r="N21" s="132" t="s">
        <v>22</v>
      </c>
      <c r="O21" s="91"/>
    </row>
    <row r="22" spans="2:15" x14ac:dyDescent="0.35">
      <c r="B22" s="88"/>
      <c r="C22" s="138"/>
      <c r="D22" s="139"/>
      <c r="E22" s="139"/>
      <c r="F22" s="140"/>
      <c r="G22" s="141"/>
      <c r="H22" s="142" t="s">
        <v>102</v>
      </c>
      <c r="I22" s="143"/>
      <c r="J22" s="144"/>
      <c r="K22" s="145" t="s">
        <v>103</v>
      </c>
      <c r="L22" s="146"/>
      <c r="M22" s="141"/>
      <c r="N22" s="141"/>
      <c r="O22" s="91"/>
    </row>
    <row r="23" spans="2:15" ht="15" thickBot="1" x14ac:dyDescent="0.4">
      <c r="B23" s="88"/>
      <c r="C23" s="147"/>
      <c r="D23" s="148"/>
      <c r="E23" s="148"/>
      <c r="F23" s="149"/>
      <c r="G23" s="150"/>
      <c r="H23" s="151" t="s">
        <v>104</v>
      </c>
      <c r="I23" s="152"/>
      <c r="J23" s="153"/>
      <c r="K23" s="154" t="s">
        <v>104</v>
      </c>
      <c r="L23" s="154" t="s">
        <v>104</v>
      </c>
      <c r="M23" s="150"/>
      <c r="N23" s="155" t="s">
        <v>105</v>
      </c>
      <c r="O23" s="91"/>
    </row>
    <row r="24" spans="2:15" ht="15" thickTop="1" x14ac:dyDescent="0.35">
      <c r="B24" s="88"/>
      <c r="C24" s="156" t="s">
        <v>80</v>
      </c>
      <c r="D24" s="157"/>
      <c r="E24" s="158" t="s">
        <v>106</v>
      </c>
      <c r="F24" s="159"/>
      <c r="G24" s="160"/>
      <c r="H24" s="161"/>
      <c r="I24" s="162"/>
      <c r="J24" s="163"/>
      <c r="K24" s="164"/>
      <c r="L24" s="165">
        <f t="shared" ref="L24:L29" si="0">+H24-K24</f>
        <v>0</v>
      </c>
      <c r="M24" s="166"/>
      <c r="N24" s="167"/>
      <c r="O24" s="91"/>
    </row>
    <row r="25" spans="2:15" x14ac:dyDescent="0.35">
      <c r="B25" s="88"/>
      <c r="C25" s="168" t="s">
        <v>81</v>
      </c>
      <c r="D25" s="169"/>
      <c r="E25" s="158" t="s">
        <v>106</v>
      </c>
      <c r="F25" s="159"/>
      <c r="G25" s="160">
        <v>2751341</v>
      </c>
      <c r="H25" s="170">
        <v>168</v>
      </c>
      <c r="I25" s="171"/>
      <c r="J25" s="172"/>
      <c r="K25" s="173">
        <v>167.4</v>
      </c>
      <c r="L25" s="165">
        <f>+H25-K25</f>
        <v>0.59999999999999432</v>
      </c>
      <c r="M25" s="174">
        <v>8000</v>
      </c>
      <c r="N25" s="167">
        <f>L25*(M25/K25)</f>
        <v>28.673835125447756</v>
      </c>
      <c r="O25" s="91"/>
    </row>
    <row r="26" spans="2:15" x14ac:dyDescent="0.35">
      <c r="B26" s="88"/>
      <c r="C26" s="168" t="s">
        <v>82</v>
      </c>
      <c r="D26" s="157"/>
      <c r="E26" s="158" t="s">
        <v>106</v>
      </c>
      <c r="F26" s="159"/>
      <c r="G26" s="160"/>
      <c r="H26" s="170"/>
      <c r="I26" s="171"/>
      <c r="J26" s="172"/>
      <c r="K26" s="173"/>
      <c r="L26" s="165">
        <f t="shared" si="0"/>
        <v>0</v>
      </c>
      <c r="M26" s="174"/>
      <c r="N26" s="167"/>
      <c r="O26" s="91"/>
    </row>
    <row r="27" spans="2:15" x14ac:dyDescent="0.35">
      <c r="B27" s="88"/>
      <c r="C27" s="168" t="s">
        <v>83</v>
      </c>
      <c r="D27" s="169"/>
      <c r="E27" s="158" t="s">
        <v>106</v>
      </c>
      <c r="F27" s="159"/>
      <c r="G27" s="160"/>
      <c r="H27" s="170">
        <v>0</v>
      </c>
      <c r="I27" s="171"/>
      <c r="J27" s="172"/>
      <c r="K27" s="173" t="s">
        <v>107</v>
      </c>
      <c r="L27" s="165"/>
      <c r="M27" s="174"/>
      <c r="N27" s="167"/>
      <c r="O27" s="91"/>
    </row>
    <row r="28" spans="2:15" x14ac:dyDescent="0.35">
      <c r="B28" s="88"/>
      <c r="C28" s="168" t="s">
        <v>84</v>
      </c>
      <c r="D28" s="175"/>
      <c r="E28" s="158" t="s">
        <v>106</v>
      </c>
      <c r="F28" s="159"/>
      <c r="G28" s="160"/>
      <c r="H28" s="176"/>
      <c r="I28" s="177"/>
      <c r="J28" s="178"/>
      <c r="K28" s="179"/>
      <c r="L28" s="165">
        <f t="shared" si="0"/>
        <v>0</v>
      </c>
      <c r="M28" s="174"/>
      <c r="N28" s="167"/>
      <c r="O28" s="91"/>
    </row>
    <row r="29" spans="2:15" x14ac:dyDescent="0.35">
      <c r="B29" s="88"/>
      <c r="C29" s="168" t="s">
        <v>85</v>
      </c>
      <c r="D29" s="169"/>
      <c r="E29" s="158" t="s">
        <v>106</v>
      </c>
      <c r="F29" s="159"/>
      <c r="G29" s="160"/>
      <c r="H29" s="176"/>
      <c r="I29" s="177"/>
      <c r="J29" s="178"/>
      <c r="K29" s="179"/>
      <c r="L29" s="165">
        <f t="shared" si="0"/>
        <v>0</v>
      </c>
      <c r="M29" s="180"/>
      <c r="N29" s="167"/>
      <c r="O29" s="91"/>
    </row>
    <row r="30" spans="2:15" x14ac:dyDescent="0.35">
      <c r="B30" s="88"/>
      <c r="C30" s="87" t="s">
        <v>108</v>
      </c>
      <c r="K30" s="181">
        <f>SUM(M24:M29)*-0.15%</f>
        <v>-12</v>
      </c>
      <c r="L30" s="182" t="s">
        <v>109</v>
      </c>
      <c r="M30" s="183"/>
      <c r="N30" s="184">
        <f>SUM(N24:N29)</f>
        <v>28.673835125447756</v>
      </c>
      <c r="O30" s="91"/>
    </row>
    <row r="31" spans="2:15" x14ac:dyDescent="0.35">
      <c r="B31" s="88"/>
      <c r="L31" s="185" t="s">
        <v>110</v>
      </c>
      <c r="M31" s="185"/>
      <c r="N31" s="185"/>
      <c r="O31" s="91"/>
    </row>
    <row r="32" spans="2:15" x14ac:dyDescent="0.35">
      <c r="B32" s="88"/>
      <c r="L32" s="186"/>
      <c r="M32" s="186"/>
      <c r="O32" s="91"/>
    </row>
    <row r="33" spans="2:15" x14ac:dyDescent="0.35">
      <c r="B33" s="105" t="s">
        <v>111</v>
      </c>
      <c r="L33" s="186"/>
      <c r="M33" s="186"/>
      <c r="O33" s="91"/>
    </row>
    <row r="34" spans="2:15" x14ac:dyDescent="0.35">
      <c r="B34" s="88"/>
      <c r="C34" s="187"/>
      <c r="L34" s="186"/>
      <c r="M34" s="186"/>
      <c r="O34" s="91"/>
    </row>
    <row r="35" spans="2:15" x14ac:dyDescent="0.35">
      <c r="B35" s="88"/>
      <c r="C35" s="188" t="s">
        <v>112</v>
      </c>
      <c r="D35" s="188"/>
      <c r="E35" s="188"/>
      <c r="F35" s="133" t="s">
        <v>113</v>
      </c>
      <c r="G35" s="134"/>
      <c r="H35" s="134"/>
      <c r="I35" s="134"/>
      <c r="J35" s="135"/>
      <c r="K35" s="189"/>
      <c r="L35" s="189"/>
      <c r="M35" s="189"/>
      <c r="O35" s="91"/>
    </row>
    <row r="36" spans="2:15" x14ac:dyDescent="0.35">
      <c r="B36" s="88"/>
      <c r="C36" s="188"/>
      <c r="D36" s="188"/>
      <c r="E36" s="188"/>
      <c r="F36" s="190"/>
      <c r="G36" s="191"/>
      <c r="H36" s="191"/>
      <c r="I36" s="191"/>
      <c r="J36" s="192"/>
      <c r="K36" s="189"/>
      <c r="L36" s="189"/>
      <c r="M36" s="189"/>
      <c r="O36" s="91"/>
    </row>
    <row r="37" spans="2:15" x14ac:dyDescent="0.35">
      <c r="B37" s="88"/>
      <c r="C37" s="188"/>
      <c r="D37" s="188"/>
      <c r="E37" s="188"/>
      <c r="F37" s="193" t="s">
        <v>114</v>
      </c>
      <c r="G37" s="194"/>
      <c r="H37" s="194"/>
      <c r="I37" s="194"/>
      <c r="J37" s="195"/>
      <c r="K37" s="143"/>
      <c r="L37" s="143"/>
      <c r="M37" s="143"/>
      <c r="O37" s="91"/>
    </row>
    <row r="38" spans="2:15" x14ac:dyDescent="0.35">
      <c r="B38" s="88"/>
      <c r="C38" s="188"/>
      <c r="D38" s="188"/>
      <c r="E38" s="188"/>
      <c r="F38" s="133" t="s">
        <v>115</v>
      </c>
      <c r="G38" s="135"/>
      <c r="H38" s="133" t="s">
        <v>20</v>
      </c>
      <c r="I38" s="134"/>
      <c r="J38" s="135"/>
      <c r="K38" s="196"/>
      <c r="L38" s="197"/>
      <c r="M38" s="197"/>
      <c r="O38" s="91"/>
    </row>
    <row r="39" spans="2:15" ht="15" thickBot="1" x14ac:dyDescent="0.4">
      <c r="B39" s="88"/>
      <c r="C39" s="198"/>
      <c r="D39" s="198"/>
      <c r="E39" s="198"/>
      <c r="F39" s="151" t="s">
        <v>116</v>
      </c>
      <c r="G39" s="153"/>
      <c r="H39" s="151" t="s">
        <v>105</v>
      </c>
      <c r="I39" s="152"/>
      <c r="J39" s="153"/>
      <c r="K39" s="196"/>
      <c r="L39" s="197"/>
      <c r="M39" s="197"/>
      <c r="O39" s="91"/>
    </row>
    <row r="40" spans="2:15" ht="15" thickTop="1" x14ac:dyDescent="0.35">
      <c r="B40" s="88"/>
      <c r="C40" s="199" t="s">
        <v>117</v>
      </c>
      <c r="D40" s="199"/>
      <c r="E40" s="199"/>
      <c r="F40" s="200">
        <v>80.599999999999994</v>
      </c>
      <c r="G40" s="201"/>
      <c r="H40" s="202">
        <v>6376.06</v>
      </c>
      <c r="I40" s="203"/>
      <c r="J40" s="204"/>
      <c r="K40" s="205"/>
      <c r="L40" s="206"/>
      <c r="M40" s="206"/>
      <c r="O40" s="91"/>
    </row>
    <row r="41" spans="2:15" x14ac:dyDescent="0.35">
      <c r="B41" s="88"/>
      <c r="C41" s="207" t="s">
        <v>118</v>
      </c>
      <c r="D41" s="207"/>
      <c r="E41" s="207"/>
      <c r="F41" s="208"/>
      <c r="G41" s="209"/>
      <c r="H41" s="210">
        <v>8000</v>
      </c>
      <c r="I41" s="211"/>
      <c r="J41" s="212"/>
      <c r="K41" s="205"/>
      <c r="L41" s="206"/>
      <c r="M41" s="206"/>
      <c r="O41" s="91"/>
    </row>
    <row r="42" spans="2:15" x14ac:dyDescent="0.35">
      <c r="B42" s="88"/>
      <c r="C42" s="207" t="s">
        <v>119</v>
      </c>
      <c r="D42" s="207"/>
      <c r="E42" s="207"/>
      <c r="F42" s="208"/>
      <c r="G42" s="209"/>
      <c r="H42" s="210">
        <f>+H40+H41</f>
        <v>14376.060000000001</v>
      </c>
      <c r="I42" s="211"/>
      <c r="J42" s="212"/>
      <c r="K42" s="205"/>
      <c r="L42" s="206"/>
      <c r="M42" s="206"/>
      <c r="O42" s="91"/>
    </row>
    <row r="43" spans="2:15" x14ac:dyDescent="0.35">
      <c r="B43" s="88"/>
      <c r="C43" s="207" t="s">
        <v>120</v>
      </c>
      <c r="D43" s="207"/>
      <c r="E43" s="207"/>
      <c r="F43" s="208">
        <v>165</v>
      </c>
      <c r="G43" s="209"/>
      <c r="H43" s="210">
        <v>14250.34</v>
      </c>
      <c r="I43" s="211"/>
      <c r="J43" s="212"/>
      <c r="K43" s="205"/>
      <c r="L43" s="206"/>
      <c r="M43" s="206"/>
      <c r="O43" s="91"/>
    </row>
    <row r="44" spans="2:15" x14ac:dyDescent="0.35">
      <c r="B44" s="88"/>
      <c r="C44" s="207" t="s">
        <v>121</v>
      </c>
      <c r="D44" s="207"/>
      <c r="E44" s="207"/>
      <c r="F44" s="208"/>
      <c r="G44" s="209"/>
      <c r="H44" s="210">
        <f>+H43-H42</f>
        <v>-125.72000000000116</v>
      </c>
      <c r="I44" s="211"/>
      <c r="J44" s="212"/>
      <c r="K44" s="205"/>
      <c r="L44" s="206"/>
      <c r="M44" s="206"/>
      <c r="O44" s="91"/>
    </row>
    <row r="45" spans="2:15" x14ac:dyDescent="0.35">
      <c r="B45" s="88"/>
      <c r="C45" s="207" t="s">
        <v>122</v>
      </c>
      <c r="D45" s="207"/>
      <c r="E45" s="207"/>
      <c r="F45" s="208"/>
      <c r="G45" s="209"/>
      <c r="H45" s="210">
        <v>0</v>
      </c>
      <c r="I45" s="211"/>
      <c r="J45" s="212"/>
      <c r="K45" s="205"/>
      <c r="L45" s="206"/>
      <c r="M45" s="206"/>
      <c r="O45" s="91"/>
    </row>
    <row r="46" spans="2:15" x14ac:dyDescent="0.35">
      <c r="B46" s="88"/>
      <c r="C46" s="207" t="s">
        <v>123</v>
      </c>
      <c r="D46" s="207"/>
      <c r="E46" s="207"/>
      <c r="F46" s="213"/>
      <c r="G46" s="214"/>
      <c r="H46" s="215">
        <f>+H44+H45</f>
        <v>-125.72000000000116</v>
      </c>
      <c r="I46" s="216"/>
      <c r="J46" s="217"/>
      <c r="K46" s="218"/>
      <c r="L46" s="219"/>
      <c r="M46" s="219"/>
      <c r="O46" s="91"/>
    </row>
    <row r="47" spans="2:15" x14ac:dyDescent="0.35">
      <c r="B47" s="88"/>
      <c r="L47" s="186"/>
      <c r="M47" s="186"/>
      <c r="O47" s="91"/>
    </row>
    <row r="48" spans="2:15" x14ac:dyDescent="0.35">
      <c r="B48" s="88"/>
      <c r="L48" s="186"/>
      <c r="M48" s="186"/>
      <c r="O48" s="91"/>
    </row>
    <row r="49" spans="2:15" x14ac:dyDescent="0.35">
      <c r="B49" s="105" t="s">
        <v>124</v>
      </c>
      <c r="L49" s="186"/>
      <c r="M49" s="186"/>
      <c r="O49" s="91"/>
    </row>
    <row r="50" spans="2:15" x14ac:dyDescent="0.35">
      <c r="B50" s="88"/>
      <c r="L50" s="186"/>
      <c r="M50" s="186"/>
      <c r="O50" s="91"/>
    </row>
    <row r="51" spans="2:15" ht="15" thickBot="1" x14ac:dyDescent="0.4">
      <c r="B51" s="220" t="s">
        <v>125</v>
      </c>
      <c r="C51" s="220"/>
      <c r="D51" s="220"/>
      <c r="E51" s="220" t="s">
        <v>126</v>
      </c>
      <c r="F51" s="220"/>
      <c r="G51" s="220"/>
      <c r="H51" s="220" t="s">
        <v>127</v>
      </c>
      <c r="I51" s="220"/>
      <c r="J51" s="220"/>
      <c r="K51" s="220"/>
      <c r="L51" s="221" t="s">
        <v>128</v>
      </c>
      <c r="M51" s="221"/>
      <c r="O51" s="91"/>
    </row>
    <row r="52" spans="2:15" ht="15" thickTop="1" x14ac:dyDescent="0.35">
      <c r="B52" s="222" t="str">
        <f>'[1]1'!B52</f>
        <v>Nozzle</v>
      </c>
      <c r="C52" s="222"/>
      <c r="D52" s="222"/>
      <c r="E52" s="223"/>
      <c r="F52" s="224"/>
      <c r="G52" s="225"/>
      <c r="H52" s="223"/>
      <c r="I52" s="224"/>
      <c r="J52" s="224"/>
      <c r="K52" s="225"/>
      <c r="L52" s="226">
        <f t="shared" ref="L52:L57" si="1">+H52-E52</f>
        <v>0</v>
      </c>
      <c r="M52" s="227"/>
      <c r="O52" s="91"/>
    </row>
    <row r="53" spans="2:15" x14ac:dyDescent="0.35">
      <c r="B53" s="222" t="str">
        <f>'[1]1'!B53</f>
        <v>Nozzle 3</v>
      </c>
      <c r="C53" s="222"/>
      <c r="D53" s="222"/>
      <c r="E53" s="223"/>
      <c r="F53" s="224"/>
      <c r="G53" s="225"/>
      <c r="H53" s="223"/>
      <c r="I53" s="224"/>
      <c r="J53" s="224"/>
      <c r="K53" s="225"/>
      <c r="L53" s="228">
        <f t="shared" si="1"/>
        <v>0</v>
      </c>
      <c r="M53" s="229"/>
      <c r="O53" s="91"/>
    </row>
    <row r="54" spans="2:15" x14ac:dyDescent="0.35">
      <c r="B54" s="222" t="str">
        <f>'[1]1'!B54</f>
        <v>Nozzle 6</v>
      </c>
      <c r="C54" s="222"/>
      <c r="D54" s="222"/>
      <c r="E54" s="223"/>
      <c r="F54" s="224"/>
      <c r="G54" s="225"/>
      <c r="H54" s="223"/>
      <c r="I54" s="224"/>
      <c r="J54" s="224"/>
      <c r="K54" s="225"/>
      <c r="L54" s="228">
        <f t="shared" si="1"/>
        <v>0</v>
      </c>
      <c r="M54" s="229"/>
      <c r="O54" s="91"/>
    </row>
    <row r="55" spans="2:15" x14ac:dyDescent="0.35">
      <c r="B55" s="222">
        <f>'[1]1'!B55</f>
        <v>0</v>
      </c>
      <c r="C55" s="222"/>
      <c r="D55" s="222"/>
      <c r="E55" s="223"/>
      <c r="F55" s="224"/>
      <c r="G55" s="225"/>
      <c r="H55" s="223"/>
      <c r="I55" s="224"/>
      <c r="J55" s="224"/>
      <c r="K55" s="225"/>
      <c r="L55" s="228">
        <f t="shared" si="1"/>
        <v>0</v>
      </c>
      <c r="M55" s="229"/>
      <c r="O55" s="91"/>
    </row>
    <row r="56" spans="2:15" x14ac:dyDescent="0.35">
      <c r="B56" s="222">
        <f>'[1]1'!B56</f>
        <v>0</v>
      </c>
      <c r="C56" s="222"/>
      <c r="D56" s="222"/>
      <c r="E56" s="223"/>
      <c r="F56" s="224"/>
      <c r="G56" s="225"/>
      <c r="H56" s="223"/>
      <c r="I56" s="224"/>
      <c r="J56" s="224"/>
      <c r="K56" s="225"/>
      <c r="L56" s="228">
        <f t="shared" si="1"/>
        <v>0</v>
      </c>
      <c r="M56" s="229"/>
      <c r="O56" s="91"/>
    </row>
    <row r="57" spans="2:15" x14ac:dyDescent="0.35">
      <c r="B57" s="222">
        <f>'[1]1'!B57</f>
        <v>0</v>
      </c>
      <c r="C57" s="222"/>
      <c r="D57" s="222"/>
      <c r="E57" s="230"/>
      <c r="F57" s="231"/>
      <c r="G57" s="232"/>
      <c r="H57" s="230"/>
      <c r="I57" s="231"/>
      <c r="J57" s="231"/>
      <c r="K57" s="232"/>
      <c r="L57" s="228">
        <f t="shared" si="1"/>
        <v>0</v>
      </c>
      <c r="M57" s="229"/>
      <c r="O57" s="91"/>
    </row>
    <row r="58" spans="2:15" x14ac:dyDescent="0.35">
      <c r="B58" s="233"/>
      <c r="C58" s="234"/>
      <c r="D58" s="234"/>
      <c r="E58" s="234"/>
      <c r="F58" s="234"/>
      <c r="G58" s="234"/>
      <c r="H58" s="234"/>
      <c r="I58" s="234"/>
      <c r="J58" s="234"/>
      <c r="K58" s="235"/>
      <c r="L58" s="236">
        <f>SUM(L52:M57)</f>
        <v>0</v>
      </c>
      <c r="M58" s="237"/>
      <c r="O58" s="91"/>
    </row>
    <row r="59" spans="2:15" x14ac:dyDescent="0.35">
      <c r="B59" s="88"/>
      <c r="L59" s="186"/>
      <c r="M59" s="186"/>
      <c r="O59" s="91"/>
    </row>
    <row r="60" spans="2:15" x14ac:dyDescent="0.35">
      <c r="B60" s="238" t="s">
        <v>129</v>
      </c>
      <c r="L60" s="186"/>
      <c r="M60" s="186"/>
      <c r="O60" s="91"/>
    </row>
    <row r="61" spans="2:15" x14ac:dyDescent="0.35">
      <c r="B61" s="238"/>
      <c r="L61" s="186"/>
      <c r="M61" s="186"/>
      <c r="O61" s="91"/>
    </row>
    <row r="62" spans="2:15" x14ac:dyDescent="0.35">
      <c r="B62" s="238"/>
      <c r="L62" s="186"/>
      <c r="M62" s="186"/>
      <c r="O62" s="91"/>
    </row>
    <row r="63" spans="2:15" x14ac:dyDescent="0.35">
      <c r="B63" s="88"/>
      <c r="C63" s="92"/>
      <c r="D63" s="239" t="s">
        <v>130</v>
      </c>
      <c r="E63" s="92"/>
      <c r="F63" s="92"/>
      <c r="G63" s="239" t="s">
        <v>131</v>
      </c>
      <c r="H63" s="240" t="s">
        <v>132</v>
      </c>
      <c r="I63" s="240"/>
      <c r="J63" s="240"/>
      <c r="K63" s="240"/>
      <c r="L63" s="240" t="s">
        <v>133</v>
      </c>
      <c r="M63" s="240"/>
      <c r="O63" s="91"/>
    </row>
    <row r="64" spans="2:15" x14ac:dyDescent="0.35">
      <c r="B64" s="88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O64" s="91"/>
    </row>
    <row r="65" spans="2:15" x14ac:dyDescent="0.35">
      <c r="B65" s="88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O65" s="91"/>
    </row>
    <row r="66" spans="2:15" x14ac:dyDescent="0.35">
      <c r="B66" s="88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O66" s="91"/>
    </row>
    <row r="67" spans="2:15" x14ac:dyDescent="0.35">
      <c r="B67" s="88"/>
      <c r="C67" s="92"/>
      <c r="O67" s="91"/>
    </row>
    <row r="68" spans="2:15" x14ac:dyDescent="0.35">
      <c r="B68" s="88"/>
      <c r="D68" s="239" t="s">
        <v>134</v>
      </c>
      <c r="E68" s="92"/>
      <c r="F68" s="92"/>
      <c r="G68" s="239" t="s">
        <v>135</v>
      </c>
      <c r="H68" s="240" t="s">
        <v>136</v>
      </c>
      <c r="I68" s="240"/>
      <c r="J68" s="240"/>
      <c r="K68" s="240"/>
      <c r="L68" s="240" t="s">
        <v>137</v>
      </c>
      <c r="M68" s="240"/>
      <c r="O68" s="91"/>
    </row>
    <row r="69" spans="2:15" x14ac:dyDescent="0.35">
      <c r="B69" s="241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242"/>
    </row>
  </sheetData>
  <mergeCells count="108">
    <mergeCell ref="B58:K58"/>
    <mergeCell ref="L58:M58"/>
    <mergeCell ref="H63:K63"/>
    <mergeCell ref="L63:M63"/>
    <mergeCell ref="H68:K68"/>
    <mergeCell ref="L68:M68"/>
    <mergeCell ref="B56:D56"/>
    <mergeCell ref="E56:G56"/>
    <mergeCell ref="H56:K56"/>
    <mergeCell ref="L56:M56"/>
    <mergeCell ref="B57:D57"/>
    <mergeCell ref="E57:G57"/>
    <mergeCell ref="H57:K57"/>
    <mergeCell ref="L57:M57"/>
    <mergeCell ref="B54:D54"/>
    <mergeCell ref="E54:G54"/>
    <mergeCell ref="H54:K54"/>
    <mergeCell ref="L54:M54"/>
    <mergeCell ref="B55:D55"/>
    <mergeCell ref="E55:G55"/>
    <mergeCell ref="H55:K55"/>
    <mergeCell ref="L55:M55"/>
    <mergeCell ref="B52:D52"/>
    <mergeCell ref="E52:G52"/>
    <mergeCell ref="H52:K52"/>
    <mergeCell ref="L52:M52"/>
    <mergeCell ref="B53:D53"/>
    <mergeCell ref="E53:G53"/>
    <mergeCell ref="H53:K53"/>
    <mergeCell ref="L53:M53"/>
    <mergeCell ref="C46:E46"/>
    <mergeCell ref="F46:G46"/>
    <mergeCell ref="H46:J46"/>
    <mergeCell ref="L46:M46"/>
    <mergeCell ref="B51:D51"/>
    <mergeCell ref="E51:G51"/>
    <mergeCell ref="H51:K51"/>
    <mergeCell ref="L51:M51"/>
    <mergeCell ref="C44:E44"/>
    <mergeCell ref="F44:G44"/>
    <mergeCell ref="H44:J44"/>
    <mergeCell ref="L44:M44"/>
    <mergeCell ref="C45:E45"/>
    <mergeCell ref="F45:G45"/>
    <mergeCell ref="H45:J45"/>
    <mergeCell ref="L45:M45"/>
    <mergeCell ref="C42:E42"/>
    <mergeCell ref="F42:G42"/>
    <mergeCell ref="H42:J42"/>
    <mergeCell ref="L42:M42"/>
    <mergeCell ref="C43:E43"/>
    <mergeCell ref="F43:G43"/>
    <mergeCell ref="H43:J43"/>
    <mergeCell ref="L43:M43"/>
    <mergeCell ref="C40:E40"/>
    <mergeCell ref="F40:G40"/>
    <mergeCell ref="H40:J40"/>
    <mergeCell ref="L40:M40"/>
    <mergeCell ref="C41:E41"/>
    <mergeCell ref="F41:G41"/>
    <mergeCell ref="H41:J41"/>
    <mergeCell ref="L41:M41"/>
    <mergeCell ref="C35:E39"/>
    <mergeCell ref="F35:J36"/>
    <mergeCell ref="F37:J37"/>
    <mergeCell ref="K37:M37"/>
    <mergeCell ref="F38:G38"/>
    <mergeCell ref="H38:J38"/>
    <mergeCell ref="L38:M38"/>
    <mergeCell ref="F39:G39"/>
    <mergeCell ref="H39:J39"/>
    <mergeCell ref="L39:M39"/>
    <mergeCell ref="E28:F28"/>
    <mergeCell ref="H28:J28"/>
    <mergeCell ref="E29:F29"/>
    <mergeCell ref="H29:J29"/>
    <mergeCell ref="L30:M30"/>
    <mergeCell ref="L31:N31"/>
    <mergeCell ref="E25:F25"/>
    <mergeCell ref="H25:J25"/>
    <mergeCell ref="E26:F26"/>
    <mergeCell ref="H26:J26"/>
    <mergeCell ref="E27:F27"/>
    <mergeCell ref="H27:J27"/>
    <mergeCell ref="M21:M23"/>
    <mergeCell ref="N21:N22"/>
    <mergeCell ref="H22:J22"/>
    <mergeCell ref="H23:J23"/>
    <mergeCell ref="E24:F24"/>
    <mergeCell ref="H24:J24"/>
    <mergeCell ref="H16:J16"/>
    <mergeCell ref="H17:J17"/>
    <mergeCell ref="C21:F23"/>
    <mergeCell ref="G21:G23"/>
    <mergeCell ref="H21:J21"/>
    <mergeCell ref="L21:L22"/>
    <mergeCell ref="D9:E9"/>
    <mergeCell ref="D10:E10"/>
    <mergeCell ref="H12:J12"/>
    <mergeCell ref="H13:J13"/>
    <mergeCell ref="H14:J14"/>
    <mergeCell ref="H15:J15"/>
    <mergeCell ref="B1:N1"/>
    <mergeCell ref="C7:D7"/>
    <mergeCell ref="F7:G7"/>
    <mergeCell ref="I7:J7"/>
    <mergeCell ref="E8:F8"/>
    <mergeCell ref="J8:K8"/>
  </mergeCells>
  <conditionalFormatting sqref="N30">
    <cfRule type="cellIs" dxfId="0" priority="1" operator="lessThan">
      <formula>$K$31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9C62-06D7-448D-9352-542F537F6E75}">
  <sheetPr>
    <tabColor rgb="FFFF0000"/>
  </sheetPr>
  <dimension ref="A2:V35"/>
  <sheetViews>
    <sheetView tabSelected="1" topLeftCell="A4" zoomScale="48" zoomScaleNormal="50" workbookViewId="0">
      <selection activeCell="B16" sqref="B16"/>
    </sheetView>
  </sheetViews>
  <sheetFormatPr defaultRowHeight="12.5" x14ac:dyDescent="0.25"/>
  <cols>
    <col min="1" max="1" width="1.54296875" customWidth="1"/>
    <col min="2" max="2" width="19.7265625" customWidth="1"/>
    <col min="3" max="3" width="11.7265625" customWidth="1"/>
    <col min="4" max="4" width="27.54296875" customWidth="1"/>
    <col min="5" max="5" width="23.54296875" customWidth="1"/>
    <col min="6" max="6" width="1.7265625" customWidth="1"/>
    <col min="7" max="7" width="39.54296875" customWidth="1"/>
    <col min="8" max="8" width="15.7265625" customWidth="1"/>
    <col min="9" max="11" width="27.7265625" customWidth="1"/>
    <col min="12" max="12" width="18.81640625" customWidth="1"/>
    <col min="13" max="13" width="27.54296875" customWidth="1"/>
    <col min="14" max="14" width="1.81640625" customWidth="1"/>
    <col min="15" max="16" width="27.7265625" customWidth="1"/>
    <col min="17" max="17" width="19.7265625" customWidth="1"/>
    <col min="18" max="18" width="16.7265625" customWidth="1"/>
    <col min="19" max="19" width="1.7265625" customWidth="1"/>
    <col min="257" max="257" width="1.54296875" customWidth="1"/>
    <col min="258" max="258" width="19.7265625" customWidth="1"/>
    <col min="259" max="259" width="11.7265625" customWidth="1"/>
    <col min="260" max="260" width="27.54296875" customWidth="1"/>
    <col min="261" max="261" width="23.54296875" customWidth="1"/>
    <col min="262" max="262" width="1.7265625" customWidth="1"/>
    <col min="263" max="263" width="39.54296875" customWidth="1"/>
    <col min="264" max="264" width="15.7265625" customWidth="1"/>
    <col min="265" max="267" width="27.7265625" customWidth="1"/>
    <col min="268" max="268" width="18.81640625" customWidth="1"/>
    <col min="269" max="269" width="27.54296875" customWidth="1"/>
    <col min="270" max="270" width="1.81640625" customWidth="1"/>
    <col min="271" max="272" width="27.7265625" customWidth="1"/>
    <col min="273" max="273" width="19.7265625" customWidth="1"/>
    <col min="274" max="274" width="16.7265625" customWidth="1"/>
    <col min="275" max="275" width="1.7265625" customWidth="1"/>
    <col min="513" max="513" width="1.54296875" customWidth="1"/>
    <col min="514" max="514" width="19.7265625" customWidth="1"/>
    <col min="515" max="515" width="11.7265625" customWidth="1"/>
    <col min="516" max="516" width="27.54296875" customWidth="1"/>
    <col min="517" max="517" width="23.54296875" customWidth="1"/>
    <col min="518" max="518" width="1.7265625" customWidth="1"/>
    <col min="519" max="519" width="39.54296875" customWidth="1"/>
    <col min="520" max="520" width="15.7265625" customWidth="1"/>
    <col min="521" max="523" width="27.7265625" customWidth="1"/>
    <col min="524" max="524" width="18.81640625" customWidth="1"/>
    <col min="525" max="525" width="27.54296875" customWidth="1"/>
    <col min="526" max="526" width="1.81640625" customWidth="1"/>
    <col min="527" max="528" width="27.7265625" customWidth="1"/>
    <col min="529" max="529" width="19.7265625" customWidth="1"/>
    <col min="530" max="530" width="16.7265625" customWidth="1"/>
    <col min="531" max="531" width="1.7265625" customWidth="1"/>
    <col min="769" max="769" width="1.54296875" customWidth="1"/>
    <col min="770" max="770" width="19.7265625" customWidth="1"/>
    <col min="771" max="771" width="11.7265625" customWidth="1"/>
    <col min="772" max="772" width="27.54296875" customWidth="1"/>
    <col min="773" max="773" width="23.54296875" customWidth="1"/>
    <col min="774" max="774" width="1.7265625" customWidth="1"/>
    <col min="775" max="775" width="39.54296875" customWidth="1"/>
    <col min="776" max="776" width="15.7265625" customWidth="1"/>
    <col min="777" max="779" width="27.7265625" customWidth="1"/>
    <col min="780" max="780" width="18.81640625" customWidth="1"/>
    <col min="781" max="781" width="27.54296875" customWidth="1"/>
    <col min="782" max="782" width="1.81640625" customWidth="1"/>
    <col min="783" max="784" width="27.7265625" customWidth="1"/>
    <col min="785" max="785" width="19.7265625" customWidth="1"/>
    <col min="786" max="786" width="16.7265625" customWidth="1"/>
    <col min="787" max="787" width="1.7265625" customWidth="1"/>
    <col min="1025" max="1025" width="1.54296875" customWidth="1"/>
    <col min="1026" max="1026" width="19.7265625" customWidth="1"/>
    <col min="1027" max="1027" width="11.7265625" customWidth="1"/>
    <col min="1028" max="1028" width="27.54296875" customWidth="1"/>
    <col min="1029" max="1029" width="23.54296875" customWidth="1"/>
    <col min="1030" max="1030" width="1.7265625" customWidth="1"/>
    <col min="1031" max="1031" width="39.54296875" customWidth="1"/>
    <col min="1032" max="1032" width="15.7265625" customWidth="1"/>
    <col min="1033" max="1035" width="27.7265625" customWidth="1"/>
    <col min="1036" max="1036" width="18.81640625" customWidth="1"/>
    <col min="1037" max="1037" width="27.54296875" customWidth="1"/>
    <col min="1038" max="1038" width="1.81640625" customWidth="1"/>
    <col min="1039" max="1040" width="27.7265625" customWidth="1"/>
    <col min="1041" max="1041" width="19.7265625" customWidth="1"/>
    <col min="1042" max="1042" width="16.7265625" customWidth="1"/>
    <col min="1043" max="1043" width="1.7265625" customWidth="1"/>
    <col min="1281" max="1281" width="1.54296875" customWidth="1"/>
    <col min="1282" max="1282" width="19.7265625" customWidth="1"/>
    <col min="1283" max="1283" width="11.7265625" customWidth="1"/>
    <col min="1284" max="1284" width="27.54296875" customWidth="1"/>
    <col min="1285" max="1285" width="23.54296875" customWidth="1"/>
    <col min="1286" max="1286" width="1.7265625" customWidth="1"/>
    <col min="1287" max="1287" width="39.54296875" customWidth="1"/>
    <col min="1288" max="1288" width="15.7265625" customWidth="1"/>
    <col min="1289" max="1291" width="27.7265625" customWidth="1"/>
    <col min="1292" max="1292" width="18.81640625" customWidth="1"/>
    <col min="1293" max="1293" width="27.54296875" customWidth="1"/>
    <col min="1294" max="1294" width="1.81640625" customWidth="1"/>
    <col min="1295" max="1296" width="27.7265625" customWidth="1"/>
    <col min="1297" max="1297" width="19.7265625" customWidth="1"/>
    <col min="1298" max="1298" width="16.7265625" customWidth="1"/>
    <col min="1299" max="1299" width="1.7265625" customWidth="1"/>
    <col min="1537" max="1537" width="1.54296875" customWidth="1"/>
    <col min="1538" max="1538" width="19.7265625" customWidth="1"/>
    <col min="1539" max="1539" width="11.7265625" customWidth="1"/>
    <col min="1540" max="1540" width="27.54296875" customWidth="1"/>
    <col min="1541" max="1541" width="23.54296875" customWidth="1"/>
    <col min="1542" max="1542" width="1.7265625" customWidth="1"/>
    <col min="1543" max="1543" width="39.54296875" customWidth="1"/>
    <col min="1544" max="1544" width="15.7265625" customWidth="1"/>
    <col min="1545" max="1547" width="27.7265625" customWidth="1"/>
    <col min="1548" max="1548" width="18.81640625" customWidth="1"/>
    <col min="1549" max="1549" width="27.54296875" customWidth="1"/>
    <col min="1550" max="1550" width="1.81640625" customWidth="1"/>
    <col min="1551" max="1552" width="27.7265625" customWidth="1"/>
    <col min="1553" max="1553" width="19.7265625" customWidth="1"/>
    <col min="1554" max="1554" width="16.7265625" customWidth="1"/>
    <col min="1555" max="1555" width="1.7265625" customWidth="1"/>
    <col min="1793" max="1793" width="1.54296875" customWidth="1"/>
    <col min="1794" max="1794" width="19.7265625" customWidth="1"/>
    <col min="1795" max="1795" width="11.7265625" customWidth="1"/>
    <col min="1796" max="1796" width="27.54296875" customWidth="1"/>
    <col min="1797" max="1797" width="23.54296875" customWidth="1"/>
    <col min="1798" max="1798" width="1.7265625" customWidth="1"/>
    <col min="1799" max="1799" width="39.54296875" customWidth="1"/>
    <col min="1800" max="1800" width="15.7265625" customWidth="1"/>
    <col min="1801" max="1803" width="27.7265625" customWidth="1"/>
    <col min="1804" max="1804" width="18.81640625" customWidth="1"/>
    <col min="1805" max="1805" width="27.54296875" customWidth="1"/>
    <col min="1806" max="1806" width="1.81640625" customWidth="1"/>
    <col min="1807" max="1808" width="27.7265625" customWidth="1"/>
    <col min="1809" max="1809" width="19.7265625" customWidth="1"/>
    <col min="1810" max="1810" width="16.7265625" customWidth="1"/>
    <col min="1811" max="1811" width="1.7265625" customWidth="1"/>
    <col min="2049" max="2049" width="1.54296875" customWidth="1"/>
    <col min="2050" max="2050" width="19.7265625" customWidth="1"/>
    <col min="2051" max="2051" width="11.7265625" customWidth="1"/>
    <col min="2052" max="2052" width="27.54296875" customWidth="1"/>
    <col min="2053" max="2053" width="23.54296875" customWidth="1"/>
    <col min="2054" max="2054" width="1.7265625" customWidth="1"/>
    <col min="2055" max="2055" width="39.54296875" customWidth="1"/>
    <col min="2056" max="2056" width="15.7265625" customWidth="1"/>
    <col min="2057" max="2059" width="27.7265625" customWidth="1"/>
    <col min="2060" max="2060" width="18.81640625" customWidth="1"/>
    <col min="2061" max="2061" width="27.54296875" customWidth="1"/>
    <col min="2062" max="2062" width="1.81640625" customWidth="1"/>
    <col min="2063" max="2064" width="27.7265625" customWidth="1"/>
    <col min="2065" max="2065" width="19.7265625" customWidth="1"/>
    <col min="2066" max="2066" width="16.7265625" customWidth="1"/>
    <col min="2067" max="2067" width="1.7265625" customWidth="1"/>
    <col min="2305" max="2305" width="1.54296875" customWidth="1"/>
    <col min="2306" max="2306" width="19.7265625" customWidth="1"/>
    <col min="2307" max="2307" width="11.7265625" customWidth="1"/>
    <col min="2308" max="2308" width="27.54296875" customWidth="1"/>
    <col min="2309" max="2309" width="23.54296875" customWidth="1"/>
    <col min="2310" max="2310" width="1.7265625" customWidth="1"/>
    <col min="2311" max="2311" width="39.54296875" customWidth="1"/>
    <col min="2312" max="2312" width="15.7265625" customWidth="1"/>
    <col min="2313" max="2315" width="27.7265625" customWidth="1"/>
    <col min="2316" max="2316" width="18.81640625" customWidth="1"/>
    <col min="2317" max="2317" width="27.54296875" customWidth="1"/>
    <col min="2318" max="2318" width="1.81640625" customWidth="1"/>
    <col min="2319" max="2320" width="27.7265625" customWidth="1"/>
    <col min="2321" max="2321" width="19.7265625" customWidth="1"/>
    <col min="2322" max="2322" width="16.7265625" customWidth="1"/>
    <col min="2323" max="2323" width="1.7265625" customWidth="1"/>
    <col min="2561" max="2561" width="1.54296875" customWidth="1"/>
    <col min="2562" max="2562" width="19.7265625" customWidth="1"/>
    <col min="2563" max="2563" width="11.7265625" customWidth="1"/>
    <col min="2564" max="2564" width="27.54296875" customWidth="1"/>
    <col min="2565" max="2565" width="23.54296875" customWidth="1"/>
    <col min="2566" max="2566" width="1.7265625" customWidth="1"/>
    <col min="2567" max="2567" width="39.54296875" customWidth="1"/>
    <col min="2568" max="2568" width="15.7265625" customWidth="1"/>
    <col min="2569" max="2571" width="27.7265625" customWidth="1"/>
    <col min="2572" max="2572" width="18.81640625" customWidth="1"/>
    <col min="2573" max="2573" width="27.54296875" customWidth="1"/>
    <col min="2574" max="2574" width="1.81640625" customWidth="1"/>
    <col min="2575" max="2576" width="27.7265625" customWidth="1"/>
    <col min="2577" max="2577" width="19.7265625" customWidth="1"/>
    <col min="2578" max="2578" width="16.7265625" customWidth="1"/>
    <col min="2579" max="2579" width="1.7265625" customWidth="1"/>
    <col min="2817" max="2817" width="1.54296875" customWidth="1"/>
    <col min="2818" max="2818" width="19.7265625" customWidth="1"/>
    <col min="2819" max="2819" width="11.7265625" customWidth="1"/>
    <col min="2820" max="2820" width="27.54296875" customWidth="1"/>
    <col min="2821" max="2821" width="23.54296875" customWidth="1"/>
    <col min="2822" max="2822" width="1.7265625" customWidth="1"/>
    <col min="2823" max="2823" width="39.54296875" customWidth="1"/>
    <col min="2824" max="2824" width="15.7265625" customWidth="1"/>
    <col min="2825" max="2827" width="27.7265625" customWidth="1"/>
    <col min="2828" max="2828" width="18.81640625" customWidth="1"/>
    <col min="2829" max="2829" width="27.54296875" customWidth="1"/>
    <col min="2830" max="2830" width="1.81640625" customWidth="1"/>
    <col min="2831" max="2832" width="27.7265625" customWidth="1"/>
    <col min="2833" max="2833" width="19.7265625" customWidth="1"/>
    <col min="2834" max="2834" width="16.7265625" customWidth="1"/>
    <col min="2835" max="2835" width="1.7265625" customWidth="1"/>
    <col min="3073" max="3073" width="1.54296875" customWidth="1"/>
    <col min="3074" max="3074" width="19.7265625" customWidth="1"/>
    <col min="3075" max="3075" width="11.7265625" customWidth="1"/>
    <col min="3076" max="3076" width="27.54296875" customWidth="1"/>
    <col min="3077" max="3077" width="23.54296875" customWidth="1"/>
    <col min="3078" max="3078" width="1.7265625" customWidth="1"/>
    <col min="3079" max="3079" width="39.54296875" customWidth="1"/>
    <col min="3080" max="3080" width="15.7265625" customWidth="1"/>
    <col min="3081" max="3083" width="27.7265625" customWidth="1"/>
    <col min="3084" max="3084" width="18.81640625" customWidth="1"/>
    <col min="3085" max="3085" width="27.54296875" customWidth="1"/>
    <col min="3086" max="3086" width="1.81640625" customWidth="1"/>
    <col min="3087" max="3088" width="27.7265625" customWidth="1"/>
    <col min="3089" max="3089" width="19.7265625" customWidth="1"/>
    <col min="3090" max="3090" width="16.7265625" customWidth="1"/>
    <col min="3091" max="3091" width="1.7265625" customWidth="1"/>
    <col min="3329" max="3329" width="1.54296875" customWidth="1"/>
    <col min="3330" max="3330" width="19.7265625" customWidth="1"/>
    <col min="3331" max="3331" width="11.7265625" customWidth="1"/>
    <col min="3332" max="3332" width="27.54296875" customWidth="1"/>
    <col min="3333" max="3333" width="23.54296875" customWidth="1"/>
    <col min="3334" max="3334" width="1.7265625" customWidth="1"/>
    <col min="3335" max="3335" width="39.54296875" customWidth="1"/>
    <col min="3336" max="3336" width="15.7265625" customWidth="1"/>
    <col min="3337" max="3339" width="27.7265625" customWidth="1"/>
    <col min="3340" max="3340" width="18.81640625" customWidth="1"/>
    <col min="3341" max="3341" width="27.54296875" customWidth="1"/>
    <col min="3342" max="3342" width="1.81640625" customWidth="1"/>
    <col min="3343" max="3344" width="27.7265625" customWidth="1"/>
    <col min="3345" max="3345" width="19.7265625" customWidth="1"/>
    <col min="3346" max="3346" width="16.7265625" customWidth="1"/>
    <col min="3347" max="3347" width="1.7265625" customWidth="1"/>
    <col min="3585" max="3585" width="1.54296875" customWidth="1"/>
    <col min="3586" max="3586" width="19.7265625" customWidth="1"/>
    <col min="3587" max="3587" width="11.7265625" customWidth="1"/>
    <col min="3588" max="3588" width="27.54296875" customWidth="1"/>
    <col min="3589" max="3589" width="23.54296875" customWidth="1"/>
    <col min="3590" max="3590" width="1.7265625" customWidth="1"/>
    <col min="3591" max="3591" width="39.54296875" customWidth="1"/>
    <col min="3592" max="3592" width="15.7265625" customWidth="1"/>
    <col min="3593" max="3595" width="27.7265625" customWidth="1"/>
    <col min="3596" max="3596" width="18.81640625" customWidth="1"/>
    <col min="3597" max="3597" width="27.54296875" customWidth="1"/>
    <col min="3598" max="3598" width="1.81640625" customWidth="1"/>
    <col min="3599" max="3600" width="27.7265625" customWidth="1"/>
    <col min="3601" max="3601" width="19.7265625" customWidth="1"/>
    <col min="3602" max="3602" width="16.7265625" customWidth="1"/>
    <col min="3603" max="3603" width="1.7265625" customWidth="1"/>
    <col min="3841" max="3841" width="1.54296875" customWidth="1"/>
    <col min="3842" max="3842" width="19.7265625" customWidth="1"/>
    <col min="3843" max="3843" width="11.7265625" customWidth="1"/>
    <col min="3844" max="3844" width="27.54296875" customWidth="1"/>
    <col min="3845" max="3845" width="23.54296875" customWidth="1"/>
    <col min="3846" max="3846" width="1.7265625" customWidth="1"/>
    <col min="3847" max="3847" width="39.54296875" customWidth="1"/>
    <col min="3848" max="3848" width="15.7265625" customWidth="1"/>
    <col min="3849" max="3851" width="27.7265625" customWidth="1"/>
    <col min="3852" max="3852" width="18.81640625" customWidth="1"/>
    <col min="3853" max="3853" width="27.54296875" customWidth="1"/>
    <col min="3854" max="3854" width="1.81640625" customWidth="1"/>
    <col min="3855" max="3856" width="27.7265625" customWidth="1"/>
    <col min="3857" max="3857" width="19.7265625" customWidth="1"/>
    <col min="3858" max="3858" width="16.7265625" customWidth="1"/>
    <col min="3859" max="3859" width="1.7265625" customWidth="1"/>
    <col min="4097" max="4097" width="1.54296875" customWidth="1"/>
    <col min="4098" max="4098" width="19.7265625" customWidth="1"/>
    <col min="4099" max="4099" width="11.7265625" customWidth="1"/>
    <col min="4100" max="4100" width="27.54296875" customWidth="1"/>
    <col min="4101" max="4101" width="23.54296875" customWidth="1"/>
    <col min="4102" max="4102" width="1.7265625" customWidth="1"/>
    <col min="4103" max="4103" width="39.54296875" customWidth="1"/>
    <col min="4104" max="4104" width="15.7265625" customWidth="1"/>
    <col min="4105" max="4107" width="27.7265625" customWidth="1"/>
    <col min="4108" max="4108" width="18.81640625" customWidth="1"/>
    <col min="4109" max="4109" width="27.54296875" customWidth="1"/>
    <col min="4110" max="4110" width="1.81640625" customWidth="1"/>
    <col min="4111" max="4112" width="27.7265625" customWidth="1"/>
    <col min="4113" max="4113" width="19.7265625" customWidth="1"/>
    <col min="4114" max="4114" width="16.7265625" customWidth="1"/>
    <col min="4115" max="4115" width="1.7265625" customWidth="1"/>
    <col min="4353" max="4353" width="1.54296875" customWidth="1"/>
    <col min="4354" max="4354" width="19.7265625" customWidth="1"/>
    <col min="4355" max="4355" width="11.7265625" customWidth="1"/>
    <col min="4356" max="4356" width="27.54296875" customWidth="1"/>
    <col min="4357" max="4357" width="23.54296875" customWidth="1"/>
    <col min="4358" max="4358" width="1.7265625" customWidth="1"/>
    <col min="4359" max="4359" width="39.54296875" customWidth="1"/>
    <col min="4360" max="4360" width="15.7265625" customWidth="1"/>
    <col min="4361" max="4363" width="27.7265625" customWidth="1"/>
    <col min="4364" max="4364" width="18.81640625" customWidth="1"/>
    <col min="4365" max="4365" width="27.54296875" customWidth="1"/>
    <col min="4366" max="4366" width="1.81640625" customWidth="1"/>
    <col min="4367" max="4368" width="27.7265625" customWidth="1"/>
    <col min="4369" max="4369" width="19.7265625" customWidth="1"/>
    <col min="4370" max="4370" width="16.7265625" customWidth="1"/>
    <col min="4371" max="4371" width="1.7265625" customWidth="1"/>
    <col min="4609" max="4609" width="1.54296875" customWidth="1"/>
    <col min="4610" max="4610" width="19.7265625" customWidth="1"/>
    <col min="4611" max="4611" width="11.7265625" customWidth="1"/>
    <col min="4612" max="4612" width="27.54296875" customWidth="1"/>
    <col min="4613" max="4613" width="23.54296875" customWidth="1"/>
    <col min="4614" max="4614" width="1.7265625" customWidth="1"/>
    <col min="4615" max="4615" width="39.54296875" customWidth="1"/>
    <col min="4616" max="4616" width="15.7265625" customWidth="1"/>
    <col min="4617" max="4619" width="27.7265625" customWidth="1"/>
    <col min="4620" max="4620" width="18.81640625" customWidth="1"/>
    <col min="4621" max="4621" width="27.54296875" customWidth="1"/>
    <col min="4622" max="4622" width="1.81640625" customWidth="1"/>
    <col min="4623" max="4624" width="27.7265625" customWidth="1"/>
    <col min="4625" max="4625" width="19.7265625" customWidth="1"/>
    <col min="4626" max="4626" width="16.7265625" customWidth="1"/>
    <col min="4627" max="4627" width="1.7265625" customWidth="1"/>
    <col min="4865" max="4865" width="1.54296875" customWidth="1"/>
    <col min="4866" max="4866" width="19.7265625" customWidth="1"/>
    <col min="4867" max="4867" width="11.7265625" customWidth="1"/>
    <col min="4868" max="4868" width="27.54296875" customWidth="1"/>
    <col min="4869" max="4869" width="23.54296875" customWidth="1"/>
    <col min="4870" max="4870" width="1.7265625" customWidth="1"/>
    <col min="4871" max="4871" width="39.54296875" customWidth="1"/>
    <col min="4872" max="4872" width="15.7265625" customWidth="1"/>
    <col min="4873" max="4875" width="27.7265625" customWidth="1"/>
    <col min="4876" max="4876" width="18.81640625" customWidth="1"/>
    <col min="4877" max="4877" width="27.54296875" customWidth="1"/>
    <col min="4878" max="4878" width="1.81640625" customWidth="1"/>
    <col min="4879" max="4880" width="27.7265625" customWidth="1"/>
    <col min="4881" max="4881" width="19.7265625" customWidth="1"/>
    <col min="4882" max="4882" width="16.7265625" customWidth="1"/>
    <col min="4883" max="4883" width="1.7265625" customWidth="1"/>
    <col min="5121" max="5121" width="1.54296875" customWidth="1"/>
    <col min="5122" max="5122" width="19.7265625" customWidth="1"/>
    <col min="5123" max="5123" width="11.7265625" customWidth="1"/>
    <col min="5124" max="5124" width="27.54296875" customWidth="1"/>
    <col min="5125" max="5125" width="23.54296875" customWidth="1"/>
    <col min="5126" max="5126" width="1.7265625" customWidth="1"/>
    <col min="5127" max="5127" width="39.54296875" customWidth="1"/>
    <col min="5128" max="5128" width="15.7265625" customWidth="1"/>
    <col min="5129" max="5131" width="27.7265625" customWidth="1"/>
    <col min="5132" max="5132" width="18.81640625" customWidth="1"/>
    <col min="5133" max="5133" width="27.54296875" customWidth="1"/>
    <col min="5134" max="5134" width="1.81640625" customWidth="1"/>
    <col min="5135" max="5136" width="27.7265625" customWidth="1"/>
    <col min="5137" max="5137" width="19.7265625" customWidth="1"/>
    <col min="5138" max="5138" width="16.7265625" customWidth="1"/>
    <col min="5139" max="5139" width="1.7265625" customWidth="1"/>
    <col min="5377" max="5377" width="1.54296875" customWidth="1"/>
    <col min="5378" max="5378" width="19.7265625" customWidth="1"/>
    <col min="5379" max="5379" width="11.7265625" customWidth="1"/>
    <col min="5380" max="5380" width="27.54296875" customWidth="1"/>
    <col min="5381" max="5381" width="23.54296875" customWidth="1"/>
    <col min="5382" max="5382" width="1.7265625" customWidth="1"/>
    <col min="5383" max="5383" width="39.54296875" customWidth="1"/>
    <col min="5384" max="5384" width="15.7265625" customWidth="1"/>
    <col min="5385" max="5387" width="27.7265625" customWidth="1"/>
    <col min="5388" max="5388" width="18.81640625" customWidth="1"/>
    <col min="5389" max="5389" width="27.54296875" customWidth="1"/>
    <col min="5390" max="5390" width="1.81640625" customWidth="1"/>
    <col min="5391" max="5392" width="27.7265625" customWidth="1"/>
    <col min="5393" max="5393" width="19.7265625" customWidth="1"/>
    <col min="5394" max="5394" width="16.7265625" customWidth="1"/>
    <col min="5395" max="5395" width="1.7265625" customWidth="1"/>
    <col min="5633" max="5633" width="1.54296875" customWidth="1"/>
    <col min="5634" max="5634" width="19.7265625" customWidth="1"/>
    <col min="5635" max="5635" width="11.7265625" customWidth="1"/>
    <col min="5636" max="5636" width="27.54296875" customWidth="1"/>
    <col min="5637" max="5637" width="23.54296875" customWidth="1"/>
    <col min="5638" max="5638" width="1.7265625" customWidth="1"/>
    <col min="5639" max="5639" width="39.54296875" customWidth="1"/>
    <col min="5640" max="5640" width="15.7265625" customWidth="1"/>
    <col min="5641" max="5643" width="27.7265625" customWidth="1"/>
    <col min="5644" max="5644" width="18.81640625" customWidth="1"/>
    <col min="5645" max="5645" width="27.54296875" customWidth="1"/>
    <col min="5646" max="5646" width="1.81640625" customWidth="1"/>
    <col min="5647" max="5648" width="27.7265625" customWidth="1"/>
    <col min="5649" max="5649" width="19.7265625" customWidth="1"/>
    <col min="5650" max="5650" width="16.7265625" customWidth="1"/>
    <col min="5651" max="5651" width="1.7265625" customWidth="1"/>
    <col min="5889" max="5889" width="1.54296875" customWidth="1"/>
    <col min="5890" max="5890" width="19.7265625" customWidth="1"/>
    <col min="5891" max="5891" width="11.7265625" customWidth="1"/>
    <col min="5892" max="5892" width="27.54296875" customWidth="1"/>
    <col min="5893" max="5893" width="23.54296875" customWidth="1"/>
    <col min="5894" max="5894" width="1.7265625" customWidth="1"/>
    <col min="5895" max="5895" width="39.54296875" customWidth="1"/>
    <col min="5896" max="5896" width="15.7265625" customWidth="1"/>
    <col min="5897" max="5899" width="27.7265625" customWidth="1"/>
    <col min="5900" max="5900" width="18.81640625" customWidth="1"/>
    <col min="5901" max="5901" width="27.54296875" customWidth="1"/>
    <col min="5902" max="5902" width="1.81640625" customWidth="1"/>
    <col min="5903" max="5904" width="27.7265625" customWidth="1"/>
    <col min="5905" max="5905" width="19.7265625" customWidth="1"/>
    <col min="5906" max="5906" width="16.7265625" customWidth="1"/>
    <col min="5907" max="5907" width="1.7265625" customWidth="1"/>
    <col min="6145" max="6145" width="1.54296875" customWidth="1"/>
    <col min="6146" max="6146" width="19.7265625" customWidth="1"/>
    <col min="6147" max="6147" width="11.7265625" customWidth="1"/>
    <col min="6148" max="6148" width="27.54296875" customWidth="1"/>
    <col min="6149" max="6149" width="23.54296875" customWidth="1"/>
    <col min="6150" max="6150" width="1.7265625" customWidth="1"/>
    <col min="6151" max="6151" width="39.54296875" customWidth="1"/>
    <col min="6152" max="6152" width="15.7265625" customWidth="1"/>
    <col min="6153" max="6155" width="27.7265625" customWidth="1"/>
    <col min="6156" max="6156" width="18.81640625" customWidth="1"/>
    <col min="6157" max="6157" width="27.54296875" customWidth="1"/>
    <col min="6158" max="6158" width="1.81640625" customWidth="1"/>
    <col min="6159" max="6160" width="27.7265625" customWidth="1"/>
    <col min="6161" max="6161" width="19.7265625" customWidth="1"/>
    <col min="6162" max="6162" width="16.7265625" customWidth="1"/>
    <col min="6163" max="6163" width="1.7265625" customWidth="1"/>
    <col min="6401" max="6401" width="1.54296875" customWidth="1"/>
    <col min="6402" max="6402" width="19.7265625" customWidth="1"/>
    <col min="6403" max="6403" width="11.7265625" customWidth="1"/>
    <col min="6404" max="6404" width="27.54296875" customWidth="1"/>
    <col min="6405" max="6405" width="23.54296875" customWidth="1"/>
    <col min="6406" max="6406" width="1.7265625" customWidth="1"/>
    <col min="6407" max="6407" width="39.54296875" customWidth="1"/>
    <col min="6408" max="6408" width="15.7265625" customWidth="1"/>
    <col min="6409" max="6411" width="27.7265625" customWidth="1"/>
    <col min="6412" max="6412" width="18.81640625" customWidth="1"/>
    <col min="6413" max="6413" width="27.54296875" customWidth="1"/>
    <col min="6414" max="6414" width="1.81640625" customWidth="1"/>
    <col min="6415" max="6416" width="27.7265625" customWidth="1"/>
    <col min="6417" max="6417" width="19.7265625" customWidth="1"/>
    <col min="6418" max="6418" width="16.7265625" customWidth="1"/>
    <col min="6419" max="6419" width="1.7265625" customWidth="1"/>
    <col min="6657" max="6657" width="1.54296875" customWidth="1"/>
    <col min="6658" max="6658" width="19.7265625" customWidth="1"/>
    <col min="6659" max="6659" width="11.7265625" customWidth="1"/>
    <col min="6660" max="6660" width="27.54296875" customWidth="1"/>
    <col min="6661" max="6661" width="23.54296875" customWidth="1"/>
    <col min="6662" max="6662" width="1.7265625" customWidth="1"/>
    <col min="6663" max="6663" width="39.54296875" customWidth="1"/>
    <col min="6664" max="6664" width="15.7265625" customWidth="1"/>
    <col min="6665" max="6667" width="27.7265625" customWidth="1"/>
    <col min="6668" max="6668" width="18.81640625" customWidth="1"/>
    <col min="6669" max="6669" width="27.54296875" customWidth="1"/>
    <col min="6670" max="6670" width="1.81640625" customWidth="1"/>
    <col min="6671" max="6672" width="27.7265625" customWidth="1"/>
    <col min="6673" max="6673" width="19.7265625" customWidth="1"/>
    <col min="6674" max="6674" width="16.7265625" customWidth="1"/>
    <col min="6675" max="6675" width="1.7265625" customWidth="1"/>
    <col min="6913" max="6913" width="1.54296875" customWidth="1"/>
    <col min="6914" max="6914" width="19.7265625" customWidth="1"/>
    <col min="6915" max="6915" width="11.7265625" customWidth="1"/>
    <col min="6916" max="6916" width="27.54296875" customWidth="1"/>
    <col min="6917" max="6917" width="23.54296875" customWidth="1"/>
    <col min="6918" max="6918" width="1.7265625" customWidth="1"/>
    <col min="6919" max="6919" width="39.54296875" customWidth="1"/>
    <col min="6920" max="6920" width="15.7265625" customWidth="1"/>
    <col min="6921" max="6923" width="27.7265625" customWidth="1"/>
    <col min="6924" max="6924" width="18.81640625" customWidth="1"/>
    <col min="6925" max="6925" width="27.54296875" customWidth="1"/>
    <col min="6926" max="6926" width="1.81640625" customWidth="1"/>
    <col min="6927" max="6928" width="27.7265625" customWidth="1"/>
    <col min="6929" max="6929" width="19.7265625" customWidth="1"/>
    <col min="6930" max="6930" width="16.7265625" customWidth="1"/>
    <col min="6931" max="6931" width="1.7265625" customWidth="1"/>
    <col min="7169" max="7169" width="1.54296875" customWidth="1"/>
    <col min="7170" max="7170" width="19.7265625" customWidth="1"/>
    <col min="7171" max="7171" width="11.7265625" customWidth="1"/>
    <col min="7172" max="7172" width="27.54296875" customWidth="1"/>
    <col min="7173" max="7173" width="23.54296875" customWidth="1"/>
    <col min="7174" max="7174" width="1.7265625" customWidth="1"/>
    <col min="7175" max="7175" width="39.54296875" customWidth="1"/>
    <col min="7176" max="7176" width="15.7265625" customWidth="1"/>
    <col min="7177" max="7179" width="27.7265625" customWidth="1"/>
    <col min="7180" max="7180" width="18.81640625" customWidth="1"/>
    <col min="7181" max="7181" width="27.54296875" customWidth="1"/>
    <col min="7182" max="7182" width="1.81640625" customWidth="1"/>
    <col min="7183" max="7184" width="27.7265625" customWidth="1"/>
    <col min="7185" max="7185" width="19.7265625" customWidth="1"/>
    <col min="7186" max="7186" width="16.7265625" customWidth="1"/>
    <col min="7187" max="7187" width="1.7265625" customWidth="1"/>
    <col min="7425" max="7425" width="1.54296875" customWidth="1"/>
    <col min="7426" max="7426" width="19.7265625" customWidth="1"/>
    <col min="7427" max="7427" width="11.7265625" customWidth="1"/>
    <col min="7428" max="7428" width="27.54296875" customWidth="1"/>
    <col min="7429" max="7429" width="23.54296875" customWidth="1"/>
    <col min="7430" max="7430" width="1.7265625" customWidth="1"/>
    <col min="7431" max="7431" width="39.54296875" customWidth="1"/>
    <col min="7432" max="7432" width="15.7265625" customWidth="1"/>
    <col min="7433" max="7435" width="27.7265625" customWidth="1"/>
    <col min="7436" max="7436" width="18.81640625" customWidth="1"/>
    <col min="7437" max="7437" width="27.54296875" customWidth="1"/>
    <col min="7438" max="7438" width="1.81640625" customWidth="1"/>
    <col min="7439" max="7440" width="27.7265625" customWidth="1"/>
    <col min="7441" max="7441" width="19.7265625" customWidth="1"/>
    <col min="7442" max="7442" width="16.7265625" customWidth="1"/>
    <col min="7443" max="7443" width="1.7265625" customWidth="1"/>
    <col min="7681" max="7681" width="1.54296875" customWidth="1"/>
    <col min="7682" max="7682" width="19.7265625" customWidth="1"/>
    <col min="7683" max="7683" width="11.7265625" customWidth="1"/>
    <col min="7684" max="7684" width="27.54296875" customWidth="1"/>
    <col min="7685" max="7685" width="23.54296875" customWidth="1"/>
    <col min="7686" max="7686" width="1.7265625" customWidth="1"/>
    <col min="7687" max="7687" width="39.54296875" customWidth="1"/>
    <col min="7688" max="7688" width="15.7265625" customWidth="1"/>
    <col min="7689" max="7691" width="27.7265625" customWidth="1"/>
    <col min="7692" max="7692" width="18.81640625" customWidth="1"/>
    <col min="7693" max="7693" width="27.54296875" customWidth="1"/>
    <col min="7694" max="7694" width="1.81640625" customWidth="1"/>
    <col min="7695" max="7696" width="27.7265625" customWidth="1"/>
    <col min="7697" max="7697" width="19.7265625" customWidth="1"/>
    <col min="7698" max="7698" width="16.7265625" customWidth="1"/>
    <col min="7699" max="7699" width="1.7265625" customWidth="1"/>
    <col min="7937" max="7937" width="1.54296875" customWidth="1"/>
    <col min="7938" max="7938" width="19.7265625" customWidth="1"/>
    <col min="7939" max="7939" width="11.7265625" customWidth="1"/>
    <col min="7940" max="7940" width="27.54296875" customWidth="1"/>
    <col min="7941" max="7941" width="23.54296875" customWidth="1"/>
    <col min="7942" max="7942" width="1.7265625" customWidth="1"/>
    <col min="7943" max="7943" width="39.54296875" customWidth="1"/>
    <col min="7944" max="7944" width="15.7265625" customWidth="1"/>
    <col min="7945" max="7947" width="27.7265625" customWidth="1"/>
    <col min="7948" max="7948" width="18.81640625" customWidth="1"/>
    <col min="7949" max="7949" width="27.54296875" customWidth="1"/>
    <col min="7950" max="7950" width="1.81640625" customWidth="1"/>
    <col min="7951" max="7952" width="27.7265625" customWidth="1"/>
    <col min="7953" max="7953" width="19.7265625" customWidth="1"/>
    <col min="7954" max="7954" width="16.7265625" customWidth="1"/>
    <col min="7955" max="7955" width="1.7265625" customWidth="1"/>
    <col min="8193" max="8193" width="1.54296875" customWidth="1"/>
    <col min="8194" max="8194" width="19.7265625" customWidth="1"/>
    <col min="8195" max="8195" width="11.7265625" customWidth="1"/>
    <col min="8196" max="8196" width="27.54296875" customWidth="1"/>
    <col min="8197" max="8197" width="23.54296875" customWidth="1"/>
    <col min="8198" max="8198" width="1.7265625" customWidth="1"/>
    <col min="8199" max="8199" width="39.54296875" customWidth="1"/>
    <col min="8200" max="8200" width="15.7265625" customWidth="1"/>
    <col min="8201" max="8203" width="27.7265625" customWidth="1"/>
    <col min="8204" max="8204" width="18.81640625" customWidth="1"/>
    <col min="8205" max="8205" width="27.54296875" customWidth="1"/>
    <col min="8206" max="8206" width="1.81640625" customWidth="1"/>
    <col min="8207" max="8208" width="27.7265625" customWidth="1"/>
    <col min="8209" max="8209" width="19.7265625" customWidth="1"/>
    <col min="8210" max="8210" width="16.7265625" customWidth="1"/>
    <col min="8211" max="8211" width="1.7265625" customWidth="1"/>
    <col min="8449" max="8449" width="1.54296875" customWidth="1"/>
    <col min="8450" max="8450" width="19.7265625" customWidth="1"/>
    <col min="8451" max="8451" width="11.7265625" customWidth="1"/>
    <col min="8452" max="8452" width="27.54296875" customWidth="1"/>
    <col min="8453" max="8453" width="23.54296875" customWidth="1"/>
    <col min="8454" max="8454" width="1.7265625" customWidth="1"/>
    <col min="8455" max="8455" width="39.54296875" customWidth="1"/>
    <col min="8456" max="8456" width="15.7265625" customWidth="1"/>
    <col min="8457" max="8459" width="27.7265625" customWidth="1"/>
    <col min="8460" max="8460" width="18.81640625" customWidth="1"/>
    <col min="8461" max="8461" width="27.54296875" customWidth="1"/>
    <col min="8462" max="8462" width="1.81640625" customWidth="1"/>
    <col min="8463" max="8464" width="27.7265625" customWidth="1"/>
    <col min="8465" max="8465" width="19.7265625" customWidth="1"/>
    <col min="8466" max="8466" width="16.7265625" customWidth="1"/>
    <col min="8467" max="8467" width="1.7265625" customWidth="1"/>
    <col min="8705" max="8705" width="1.54296875" customWidth="1"/>
    <col min="8706" max="8706" width="19.7265625" customWidth="1"/>
    <col min="8707" max="8707" width="11.7265625" customWidth="1"/>
    <col min="8708" max="8708" width="27.54296875" customWidth="1"/>
    <col min="8709" max="8709" width="23.54296875" customWidth="1"/>
    <col min="8710" max="8710" width="1.7265625" customWidth="1"/>
    <col min="8711" max="8711" width="39.54296875" customWidth="1"/>
    <col min="8712" max="8712" width="15.7265625" customWidth="1"/>
    <col min="8713" max="8715" width="27.7265625" customWidth="1"/>
    <col min="8716" max="8716" width="18.81640625" customWidth="1"/>
    <col min="8717" max="8717" width="27.54296875" customWidth="1"/>
    <col min="8718" max="8718" width="1.81640625" customWidth="1"/>
    <col min="8719" max="8720" width="27.7265625" customWidth="1"/>
    <col min="8721" max="8721" width="19.7265625" customWidth="1"/>
    <col min="8722" max="8722" width="16.7265625" customWidth="1"/>
    <col min="8723" max="8723" width="1.7265625" customWidth="1"/>
    <col min="8961" max="8961" width="1.54296875" customWidth="1"/>
    <col min="8962" max="8962" width="19.7265625" customWidth="1"/>
    <col min="8963" max="8963" width="11.7265625" customWidth="1"/>
    <col min="8964" max="8964" width="27.54296875" customWidth="1"/>
    <col min="8965" max="8965" width="23.54296875" customWidth="1"/>
    <col min="8966" max="8966" width="1.7265625" customWidth="1"/>
    <col min="8967" max="8967" width="39.54296875" customWidth="1"/>
    <col min="8968" max="8968" width="15.7265625" customWidth="1"/>
    <col min="8969" max="8971" width="27.7265625" customWidth="1"/>
    <col min="8972" max="8972" width="18.81640625" customWidth="1"/>
    <col min="8973" max="8973" width="27.54296875" customWidth="1"/>
    <col min="8974" max="8974" width="1.81640625" customWidth="1"/>
    <col min="8975" max="8976" width="27.7265625" customWidth="1"/>
    <col min="8977" max="8977" width="19.7265625" customWidth="1"/>
    <col min="8978" max="8978" width="16.7265625" customWidth="1"/>
    <col min="8979" max="8979" width="1.7265625" customWidth="1"/>
    <col min="9217" max="9217" width="1.54296875" customWidth="1"/>
    <col min="9218" max="9218" width="19.7265625" customWidth="1"/>
    <col min="9219" max="9219" width="11.7265625" customWidth="1"/>
    <col min="9220" max="9220" width="27.54296875" customWidth="1"/>
    <col min="9221" max="9221" width="23.54296875" customWidth="1"/>
    <col min="9222" max="9222" width="1.7265625" customWidth="1"/>
    <col min="9223" max="9223" width="39.54296875" customWidth="1"/>
    <col min="9224" max="9224" width="15.7265625" customWidth="1"/>
    <col min="9225" max="9227" width="27.7265625" customWidth="1"/>
    <col min="9228" max="9228" width="18.81640625" customWidth="1"/>
    <col min="9229" max="9229" width="27.54296875" customWidth="1"/>
    <col min="9230" max="9230" width="1.81640625" customWidth="1"/>
    <col min="9231" max="9232" width="27.7265625" customWidth="1"/>
    <col min="9233" max="9233" width="19.7265625" customWidth="1"/>
    <col min="9234" max="9234" width="16.7265625" customWidth="1"/>
    <col min="9235" max="9235" width="1.7265625" customWidth="1"/>
    <col min="9473" max="9473" width="1.54296875" customWidth="1"/>
    <col min="9474" max="9474" width="19.7265625" customWidth="1"/>
    <col min="9475" max="9475" width="11.7265625" customWidth="1"/>
    <col min="9476" max="9476" width="27.54296875" customWidth="1"/>
    <col min="9477" max="9477" width="23.54296875" customWidth="1"/>
    <col min="9478" max="9478" width="1.7265625" customWidth="1"/>
    <col min="9479" max="9479" width="39.54296875" customWidth="1"/>
    <col min="9480" max="9480" width="15.7265625" customWidth="1"/>
    <col min="9481" max="9483" width="27.7265625" customWidth="1"/>
    <col min="9484" max="9484" width="18.81640625" customWidth="1"/>
    <col min="9485" max="9485" width="27.54296875" customWidth="1"/>
    <col min="9486" max="9486" width="1.81640625" customWidth="1"/>
    <col min="9487" max="9488" width="27.7265625" customWidth="1"/>
    <col min="9489" max="9489" width="19.7265625" customWidth="1"/>
    <col min="9490" max="9490" width="16.7265625" customWidth="1"/>
    <col min="9491" max="9491" width="1.7265625" customWidth="1"/>
    <col min="9729" max="9729" width="1.54296875" customWidth="1"/>
    <col min="9730" max="9730" width="19.7265625" customWidth="1"/>
    <col min="9731" max="9731" width="11.7265625" customWidth="1"/>
    <col min="9732" max="9732" width="27.54296875" customWidth="1"/>
    <col min="9733" max="9733" width="23.54296875" customWidth="1"/>
    <col min="9734" max="9734" width="1.7265625" customWidth="1"/>
    <col min="9735" max="9735" width="39.54296875" customWidth="1"/>
    <col min="9736" max="9736" width="15.7265625" customWidth="1"/>
    <col min="9737" max="9739" width="27.7265625" customWidth="1"/>
    <col min="9740" max="9740" width="18.81640625" customWidth="1"/>
    <col min="9741" max="9741" width="27.54296875" customWidth="1"/>
    <col min="9742" max="9742" width="1.81640625" customWidth="1"/>
    <col min="9743" max="9744" width="27.7265625" customWidth="1"/>
    <col min="9745" max="9745" width="19.7265625" customWidth="1"/>
    <col min="9746" max="9746" width="16.7265625" customWidth="1"/>
    <col min="9747" max="9747" width="1.7265625" customWidth="1"/>
    <col min="9985" max="9985" width="1.54296875" customWidth="1"/>
    <col min="9986" max="9986" width="19.7265625" customWidth="1"/>
    <col min="9987" max="9987" width="11.7265625" customWidth="1"/>
    <col min="9988" max="9988" width="27.54296875" customWidth="1"/>
    <col min="9989" max="9989" width="23.54296875" customWidth="1"/>
    <col min="9990" max="9990" width="1.7265625" customWidth="1"/>
    <col min="9991" max="9991" width="39.54296875" customWidth="1"/>
    <col min="9992" max="9992" width="15.7265625" customWidth="1"/>
    <col min="9993" max="9995" width="27.7265625" customWidth="1"/>
    <col min="9996" max="9996" width="18.81640625" customWidth="1"/>
    <col min="9997" max="9997" width="27.54296875" customWidth="1"/>
    <col min="9998" max="9998" width="1.81640625" customWidth="1"/>
    <col min="9999" max="10000" width="27.7265625" customWidth="1"/>
    <col min="10001" max="10001" width="19.7265625" customWidth="1"/>
    <col min="10002" max="10002" width="16.7265625" customWidth="1"/>
    <col min="10003" max="10003" width="1.7265625" customWidth="1"/>
    <col min="10241" max="10241" width="1.54296875" customWidth="1"/>
    <col min="10242" max="10242" width="19.7265625" customWidth="1"/>
    <col min="10243" max="10243" width="11.7265625" customWidth="1"/>
    <col min="10244" max="10244" width="27.54296875" customWidth="1"/>
    <col min="10245" max="10245" width="23.54296875" customWidth="1"/>
    <col min="10246" max="10246" width="1.7265625" customWidth="1"/>
    <col min="10247" max="10247" width="39.54296875" customWidth="1"/>
    <col min="10248" max="10248" width="15.7265625" customWidth="1"/>
    <col min="10249" max="10251" width="27.7265625" customWidth="1"/>
    <col min="10252" max="10252" width="18.81640625" customWidth="1"/>
    <col min="10253" max="10253" width="27.54296875" customWidth="1"/>
    <col min="10254" max="10254" width="1.81640625" customWidth="1"/>
    <col min="10255" max="10256" width="27.7265625" customWidth="1"/>
    <col min="10257" max="10257" width="19.7265625" customWidth="1"/>
    <col min="10258" max="10258" width="16.7265625" customWidth="1"/>
    <col min="10259" max="10259" width="1.7265625" customWidth="1"/>
    <col min="10497" max="10497" width="1.54296875" customWidth="1"/>
    <col min="10498" max="10498" width="19.7265625" customWidth="1"/>
    <col min="10499" max="10499" width="11.7265625" customWidth="1"/>
    <col min="10500" max="10500" width="27.54296875" customWidth="1"/>
    <col min="10501" max="10501" width="23.54296875" customWidth="1"/>
    <col min="10502" max="10502" width="1.7265625" customWidth="1"/>
    <col min="10503" max="10503" width="39.54296875" customWidth="1"/>
    <col min="10504" max="10504" width="15.7265625" customWidth="1"/>
    <col min="10505" max="10507" width="27.7265625" customWidth="1"/>
    <col min="10508" max="10508" width="18.81640625" customWidth="1"/>
    <col min="10509" max="10509" width="27.54296875" customWidth="1"/>
    <col min="10510" max="10510" width="1.81640625" customWidth="1"/>
    <col min="10511" max="10512" width="27.7265625" customWidth="1"/>
    <col min="10513" max="10513" width="19.7265625" customWidth="1"/>
    <col min="10514" max="10514" width="16.7265625" customWidth="1"/>
    <col min="10515" max="10515" width="1.7265625" customWidth="1"/>
    <col min="10753" max="10753" width="1.54296875" customWidth="1"/>
    <col min="10754" max="10754" width="19.7265625" customWidth="1"/>
    <col min="10755" max="10755" width="11.7265625" customWidth="1"/>
    <col min="10756" max="10756" width="27.54296875" customWidth="1"/>
    <col min="10757" max="10757" width="23.54296875" customWidth="1"/>
    <col min="10758" max="10758" width="1.7265625" customWidth="1"/>
    <col min="10759" max="10759" width="39.54296875" customWidth="1"/>
    <col min="10760" max="10760" width="15.7265625" customWidth="1"/>
    <col min="10761" max="10763" width="27.7265625" customWidth="1"/>
    <col min="10764" max="10764" width="18.81640625" customWidth="1"/>
    <col min="10765" max="10765" width="27.54296875" customWidth="1"/>
    <col min="10766" max="10766" width="1.81640625" customWidth="1"/>
    <col min="10767" max="10768" width="27.7265625" customWidth="1"/>
    <col min="10769" max="10769" width="19.7265625" customWidth="1"/>
    <col min="10770" max="10770" width="16.7265625" customWidth="1"/>
    <col min="10771" max="10771" width="1.7265625" customWidth="1"/>
    <col min="11009" max="11009" width="1.54296875" customWidth="1"/>
    <col min="11010" max="11010" width="19.7265625" customWidth="1"/>
    <col min="11011" max="11011" width="11.7265625" customWidth="1"/>
    <col min="11012" max="11012" width="27.54296875" customWidth="1"/>
    <col min="11013" max="11013" width="23.54296875" customWidth="1"/>
    <col min="11014" max="11014" width="1.7265625" customWidth="1"/>
    <col min="11015" max="11015" width="39.54296875" customWidth="1"/>
    <col min="11016" max="11016" width="15.7265625" customWidth="1"/>
    <col min="11017" max="11019" width="27.7265625" customWidth="1"/>
    <col min="11020" max="11020" width="18.81640625" customWidth="1"/>
    <col min="11021" max="11021" width="27.54296875" customWidth="1"/>
    <col min="11022" max="11022" width="1.81640625" customWidth="1"/>
    <col min="11023" max="11024" width="27.7265625" customWidth="1"/>
    <col min="11025" max="11025" width="19.7265625" customWidth="1"/>
    <col min="11026" max="11026" width="16.7265625" customWidth="1"/>
    <col min="11027" max="11027" width="1.7265625" customWidth="1"/>
    <col min="11265" max="11265" width="1.54296875" customWidth="1"/>
    <col min="11266" max="11266" width="19.7265625" customWidth="1"/>
    <col min="11267" max="11267" width="11.7265625" customWidth="1"/>
    <col min="11268" max="11268" width="27.54296875" customWidth="1"/>
    <col min="11269" max="11269" width="23.54296875" customWidth="1"/>
    <col min="11270" max="11270" width="1.7265625" customWidth="1"/>
    <col min="11271" max="11271" width="39.54296875" customWidth="1"/>
    <col min="11272" max="11272" width="15.7265625" customWidth="1"/>
    <col min="11273" max="11275" width="27.7265625" customWidth="1"/>
    <col min="11276" max="11276" width="18.81640625" customWidth="1"/>
    <col min="11277" max="11277" width="27.54296875" customWidth="1"/>
    <col min="11278" max="11278" width="1.81640625" customWidth="1"/>
    <col min="11279" max="11280" width="27.7265625" customWidth="1"/>
    <col min="11281" max="11281" width="19.7265625" customWidth="1"/>
    <col min="11282" max="11282" width="16.7265625" customWidth="1"/>
    <col min="11283" max="11283" width="1.7265625" customWidth="1"/>
    <col min="11521" max="11521" width="1.54296875" customWidth="1"/>
    <col min="11522" max="11522" width="19.7265625" customWidth="1"/>
    <col min="11523" max="11523" width="11.7265625" customWidth="1"/>
    <col min="11524" max="11524" width="27.54296875" customWidth="1"/>
    <col min="11525" max="11525" width="23.54296875" customWidth="1"/>
    <col min="11526" max="11526" width="1.7265625" customWidth="1"/>
    <col min="11527" max="11527" width="39.54296875" customWidth="1"/>
    <col min="11528" max="11528" width="15.7265625" customWidth="1"/>
    <col min="11529" max="11531" width="27.7265625" customWidth="1"/>
    <col min="11532" max="11532" width="18.81640625" customWidth="1"/>
    <col min="11533" max="11533" width="27.54296875" customWidth="1"/>
    <col min="11534" max="11534" width="1.81640625" customWidth="1"/>
    <col min="11535" max="11536" width="27.7265625" customWidth="1"/>
    <col min="11537" max="11537" width="19.7265625" customWidth="1"/>
    <col min="11538" max="11538" width="16.7265625" customWidth="1"/>
    <col min="11539" max="11539" width="1.7265625" customWidth="1"/>
    <col min="11777" max="11777" width="1.54296875" customWidth="1"/>
    <col min="11778" max="11778" width="19.7265625" customWidth="1"/>
    <col min="11779" max="11779" width="11.7265625" customWidth="1"/>
    <col min="11780" max="11780" width="27.54296875" customWidth="1"/>
    <col min="11781" max="11781" width="23.54296875" customWidth="1"/>
    <col min="11782" max="11782" width="1.7265625" customWidth="1"/>
    <col min="11783" max="11783" width="39.54296875" customWidth="1"/>
    <col min="11784" max="11784" width="15.7265625" customWidth="1"/>
    <col min="11785" max="11787" width="27.7265625" customWidth="1"/>
    <col min="11788" max="11788" width="18.81640625" customWidth="1"/>
    <col min="11789" max="11789" width="27.54296875" customWidth="1"/>
    <col min="11790" max="11790" width="1.81640625" customWidth="1"/>
    <col min="11791" max="11792" width="27.7265625" customWidth="1"/>
    <col min="11793" max="11793" width="19.7265625" customWidth="1"/>
    <col min="11794" max="11794" width="16.7265625" customWidth="1"/>
    <col min="11795" max="11795" width="1.7265625" customWidth="1"/>
    <col min="12033" max="12033" width="1.54296875" customWidth="1"/>
    <col min="12034" max="12034" width="19.7265625" customWidth="1"/>
    <col min="12035" max="12035" width="11.7265625" customWidth="1"/>
    <col min="12036" max="12036" width="27.54296875" customWidth="1"/>
    <col min="12037" max="12037" width="23.54296875" customWidth="1"/>
    <col min="12038" max="12038" width="1.7265625" customWidth="1"/>
    <col min="12039" max="12039" width="39.54296875" customWidth="1"/>
    <col min="12040" max="12040" width="15.7265625" customWidth="1"/>
    <col min="12041" max="12043" width="27.7265625" customWidth="1"/>
    <col min="12044" max="12044" width="18.81640625" customWidth="1"/>
    <col min="12045" max="12045" width="27.54296875" customWidth="1"/>
    <col min="12046" max="12046" width="1.81640625" customWidth="1"/>
    <col min="12047" max="12048" width="27.7265625" customWidth="1"/>
    <col min="12049" max="12049" width="19.7265625" customWidth="1"/>
    <col min="12050" max="12050" width="16.7265625" customWidth="1"/>
    <col min="12051" max="12051" width="1.7265625" customWidth="1"/>
    <col min="12289" max="12289" width="1.54296875" customWidth="1"/>
    <col min="12290" max="12290" width="19.7265625" customWidth="1"/>
    <col min="12291" max="12291" width="11.7265625" customWidth="1"/>
    <col min="12292" max="12292" width="27.54296875" customWidth="1"/>
    <col min="12293" max="12293" width="23.54296875" customWidth="1"/>
    <col min="12294" max="12294" width="1.7265625" customWidth="1"/>
    <col min="12295" max="12295" width="39.54296875" customWidth="1"/>
    <col min="12296" max="12296" width="15.7265625" customWidth="1"/>
    <col min="12297" max="12299" width="27.7265625" customWidth="1"/>
    <col min="12300" max="12300" width="18.81640625" customWidth="1"/>
    <col min="12301" max="12301" width="27.54296875" customWidth="1"/>
    <col min="12302" max="12302" width="1.81640625" customWidth="1"/>
    <col min="12303" max="12304" width="27.7265625" customWidth="1"/>
    <col min="12305" max="12305" width="19.7265625" customWidth="1"/>
    <col min="12306" max="12306" width="16.7265625" customWidth="1"/>
    <col min="12307" max="12307" width="1.7265625" customWidth="1"/>
    <col min="12545" max="12545" width="1.54296875" customWidth="1"/>
    <col min="12546" max="12546" width="19.7265625" customWidth="1"/>
    <col min="12547" max="12547" width="11.7265625" customWidth="1"/>
    <col min="12548" max="12548" width="27.54296875" customWidth="1"/>
    <col min="12549" max="12549" width="23.54296875" customWidth="1"/>
    <col min="12550" max="12550" width="1.7265625" customWidth="1"/>
    <col min="12551" max="12551" width="39.54296875" customWidth="1"/>
    <col min="12552" max="12552" width="15.7265625" customWidth="1"/>
    <col min="12553" max="12555" width="27.7265625" customWidth="1"/>
    <col min="12556" max="12556" width="18.81640625" customWidth="1"/>
    <col min="12557" max="12557" width="27.54296875" customWidth="1"/>
    <col min="12558" max="12558" width="1.81640625" customWidth="1"/>
    <col min="12559" max="12560" width="27.7265625" customWidth="1"/>
    <col min="12561" max="12561" width="19.7265625" customWidth="1"/>
    <col min="12562" max="12562" width="16.7265625" customWidth="1"/>
    <col min="12563" max="12563" width="1.7265625" customWidth="1"/>
    <col min="12801" max="12801" width="1.54296875" customWidth="1"/>
    <col min="12802" max="12802" width="19.7265625" customWidth="1"/>
    <col min="12803" max="12803" width="11.7265625" customWidth="1"/>
    <col min="12804" max="12804" width="27.54296875" customWidth="1"/>
    <col min="12805" max="12805" width="23.54296875" customWidth="1"/>
    <col min="12806" max="12806" width="1.7265625" customWidth="1"/>
    <col min="12807" max="12807" width="39.54296875" customWidth="1"/>
    <col min="12808" max="12808" width="15.7265625" customWidth="1"/>
    <col min="12809" max="12811" width="27.7265625" customWidth="1"/>
    <col min="12812" max="12812" width="18.81640625" customWidth="1"/>
    <col min="12813" max="12813" width="27.54296875" customWidth="1"/>
    <col min="12814" max="12814" width="1.81640625" customWidth="1"/>
    <col min="12815" max="12816" width="27.7265625" customWidth="1"/>
    <col min="12817" max="12817" width="19.7265625" customWidth="1"/>
    <col min="12818" max="12818" width="16.7265625" customWidth="1"/>
    <col min="12819" max="12819" width="1.7265625" customWidth="1"/>
    <col min="13057" max="13057" width="1.54296875" customWidth="1"/>
    <col min="13058" max="13058" width="19.7265625" customWidth="1"/>
    <col min="13059" max="13059" width="11.7265625" customWidth="1"/>
    <col min="13060" max="13060" width="27.54296875" customWidth="1"/>
    <col min="13061" max="13061" width="23.54296875" customWidth="1"/>
    <col min="13062" max="13062" width="1.7265625" customWidth="1"/>
    <col min="13063" max="13063" width="39.54296875" customWidth="1"/>
    <col min="13064" max="13064" width="15.7265625" customWidth="1"/>
    <col min="13065" max="13067" width="27.7265625" customWidth="1"/>
    <col min="13068" max="13068" width="18.81640625" customWidth="1"/>
    <col min="13069" max="13069" width="27.54296875" customWidth="1"/>
    <col min="13070" max="13070" width="1.81640625" customWidth="1"/>
    <col min="13071" max="13072" width="27.7265625" customWidth="1"/>
    <col min="13073" max="13073" width="19.7265625" customWidth="1"/>
    <col min="13074" max="13074" width="16.7265625" customWidth="1"/>
    <col min="13075" max="13075" width="1.7265625" customWidth="1"/>
    <col min="13313" max="13313" width="1.54296875" customWidth="1"/>
    <col min="13314" max="13314" width="19.7265625" customWidth="1"/>
    <col min="13315" max="13315" width="11.7265625" customWidth="1"/>
    <col min="13316" max="13316" width="27.54296875" customWidth="1"/>
    <col min="13317" max="13317" width="23.54296875" customWidth="1"/>
    <col min="13318" max="13318" width="1.7265625" customWidth="1"/>
    <col min="13319" max="13319" width="39.54296875" customWidth="1"/>
    <col min="13320" max="13320" width="15.7265625" customWidth="1"/>
    <col min="13321" max="13323" width="27.7265625" customWidth="1"/>
    <col min="13324" max="13324" width="18.81640625" customWidth="1"/>
    <col min="13325" max="13325" width="27.54296875" customWidth="1"/>
    <col min="13326" max="13326" width="1.81640625" customWidth="1"/>
    <col min="13327" max="13328" width="27.7265625" customWidth="1"/>
    <col min="13329" max="13329" width="19.7265625" customWidth="1"/>
    <col min="13330" max="13330" width="16.7265625" customWidth="1"/>
    <col min="13331" max="13331" width="1.7265625" customWidth="1"/>
    <col min="13569" max="13569" width="1.54296875" customWidth="1"/>
    <col min="13570" max="13570" width="19.7265625" customWidth="1"/>
    <col min="13571" max="13571" width="11.7265625" customWidth="1"/>
    <col min="13572" max="13572" width="27.54296875" customWidth="1"/>
    <col min="13573" max="13573" width="23.54296875" customWidth="1"/>
    <col min="13574" max="13574" width="1.7265625" customWidth="1"/>
    <col min="13575" max="13575" width="39.54296875" customWidth="1"/>
    <col min="13576" max="13576" width="15.7265625" customWidth="1"/>
    <col min="13577" max="13579" width="27.7265625" customWidth="1"/>
    <col min="13580" max="13580" width="18.81640625" customWidth="1"/>
    <col min="13581" max="13581" width="27.54296875" customWidth="1"/>
    <col min="13582" max="13582" width="1.81640625" customWidth="1"/>
    <col min="13583" max="13584" width="27.7265625" customWidth="1"/>
    <col min="13585" max="13585" width="19.7265625" customWidth="1"/>
    <col min="13586" max="13586" width="16.7265625" customWidth="1"/>
    <col min="13587" max="13587" width="1.7265625" customWidth="1"/>
    <col min="13825" max="13825" width="1.54296875" customWidth="1"/>
    <col min="13826" max="13826" width="19.7265625" customWidth="1"/>
    <col min="13827" max="13827" width="11.7265625" customWidth="1"/>
    <col min="13828" max="13828" width="27.54296875" customWidth="1"/>
    <col min="13829" max="13829" width="23.54296875" customWidth="1"/>
    <col min="13830" max="13830" width="1.7265625" customWidth="1"/>
    <col min="13831" max="13831" width="39.54296875" customWidth="1"/>
    <col min="13832" max="13832" width="15.7265625" customWidth="1"/>
    <col min="13833" max="13835" width="27.7265625" customWidth="1"/>
    <col min="13836" max="13836" width="18.81640625" customWidth="1"/>
    <col min="13837" max="13837" width="27.54296875" customWidth="1"/>
    <col min="13838" max="13838" width="1.81640625" customWidth="1"/>
    <col min="13839" max="13840" width="27.7265625" customWidth="1"/>
    <col min="13841" max="13841" width="19.7265625" customWidth="1"/>
    <col min="13842" max="13842" width="16.7265625" customWidth="1"/>
    <col min="13843" max="13843" width="1.7265625" customWidth="1"/>
    <col min="14081" max="14081" width="1.54296875" customWidth="1"/>
    <col min="14082" max="14082" width="19.7265625" customWidth="1"/>
    <col min="14083" max="14083" width="11.7265625" customWidth="1"/>
    <col min="14084" max="14084" width="27.54296875" customWidth="1"/>
    <col min="14085" max="14085" width="23.54296875" customWidth="1"/>
    <col min="14086" max="14086" width="1.7265625" customWidth="1"/>
    <col min="14087" max="14087" width="39.54296875" customWidth="1"/>
    <col min="14088" max="14088" width="15.7265625" customWidth="1"/>
    <col min="14089" max="14091" width="27.7265625" customWidth="1"/>
    <col min="14092" max="14092" width="18.81640625" customWidth="1"/>
    <col min="14093" max="14093" width="27.54296875" customWidth="1"/>
    <col min="14094" max="14094" width="1.81640625" customWidth="1"/>
    <col min="14095" max="14096" width="27.7265625" customWidth="1"/>
    <col min="14097" max="14097" width="19.7265625" customWidth="1"/>
    <col min="14098" max="14098" width="16.7265625" customWidth="1"/>
    <col min="14099" max="14099" width="1.7265625" customWidth="1"/>
    <col min="14337" max="14337" width="1.54296875" customWidth="1"/>
    <col min="14338" max="14338" width="19.7265625" customWidth="1"/>
    <col min="14339" max="14339" width="11.7265625" customWidth="1"/>
    <col min="14340" max="14340" width="27.54296875" customWidth="1"/>
    <col min="14341" max="14341" width="23.54296875" customWidth="1"/>
    <col min="14342" max="14342" width="1.7265625" customWidth="1"/>
    <col min="14343" max="14343" width="39.54296875" customWidth="1"/>
    <col min="14344" max="14344" width="15.7265625" customWidth="1"/>
    <col min="14345" max="14347" width="27.7265625" customWidth="1"/>
    <col min="14348" max="14348" width="18.81640625" customWidth="1"/>
    <col min="14349" max="14349" width="27.54296875" customWidth="1"/>
    <col min="14350" max="14350" width="1.81640625" customWidth="1"/>
    <col min="14351" max="14352" width="27.7265625" customWidth="1"/>
    <col min="14353" max="14353" width="19.7265625" customWidth="1"/>
    <col min="14354" max="14354" width="16.7265625" customWidth="1"/>
    <col min="14355" max="14355" width="1.7265625" customWidth="1"/>
    <col min="14593" max="14593" width="1.54296875" customWidth="1"/>
    <col min="14594" max="14594" width="19.7265625" customWidth="1"/>
    <col min="14595" max="14595" width="11.7265625" customWidth="1"/>
    <col min="14596" max="14596" width="27.54296875" customWidth="1"/>
    <col min="14597" max="14597" width="23.54296875" customWidth="1"/>
    <col min="14598" max="14598" width="1.7265625" customWidth="1"/>
    <col min="14599" max="14599" width="39.54296875" customWidth="1"/>
    <col min="14600" max="14600" width="15.7265625" customWidth="1"/>
    <col min="14601" max="14603" width="27.7265625" customWidth="1"/>
    <col min="14604" max="14604" width="18.81640625" customWidth="1"/>
    <col min="14605" max="14605" width="27.54296875" customWidth="1"/>
    <col min="14606" max="14606" width="1.81640625" customWidth="1"/>
    <col min="14607" max="14608" width="27.7265625" customWidth="1"/>
    <col min="14609" max="14609" width="19.7265625" customWidth="1"/>
    <col min="14610" max="14610" width="16.7265625" customWidth="1"/>
    <col min="14611" max="14611" width="1.7265625" customWidth="1"/>
    <col min="14849" max="14849" width="1.54296875" customWidth="1"/>
    <col min="14850" max="14850" width="19.7265625" customWidth="1"/>
    <col min="14851" max="14851" width="11.7265625" customWidth="1"/>
    <col min="14852" max="14852" width="27.54296875" customWidth="1"/>
    <col min="14853" max="14853" width="23.54296875" customWidth="1"/>
    <col min="14854" max="14854" width="1.7265625" customWidth="1"/>
    <col min="14855" max="14855" width="39.54296875" customWidth="1"/>
    <col min="14856" max="14856" width="15.7265625" customWidth="1"/>
    <col min="14857" max="14859" width="27.7265625" customWidth="1"/>
    <col min="14860" max="14860" width="18.81640625" customWidth="1"/>
    <col min="14861" max="14861" width="27.54296875" customWidth="1"/>
    <col min="14862" max="14862" width="1.81640625" customWidth="1"/>
    <col min="14863" max="14864" width="27.7265625" customWidth="1"/>
    <col min="14865" max="14865" width="19.7265625" customWidth="1"/>
    <col min="14866" max="14866" width="16.7265625" customWidth="1"/>
    <col min="14867" max="14867" width="1.7265625" customWidth="1"/>
    <col min="15105" max="15105" width="1.54296875" customWidth="1"/>
    <col min="15106" max="15106" width="19.7265625" customWidth="1"/>
    <col min="15107" max="15107" width="11.7265625" customWidth="1"/>
    <col min="15108" max="15108" width="27.54296875" customWidth="1"/>
    <col min="15109" max="15109" width="23.54296875" customWidth="1"/>
    <col min="15110" max="15110" width="1.7265625" customWidth="1"/>
    <col min="15111" max="15111" width="39.54296875" customWidth="1"/>
    <col min="15112" max="15112" width="15.7265625" customWidth="1"/>
    <col min="15113" max="15115" width="27.7265625" customWidth="1"/>
    <col min="15116" max="15116" width="18.81640625" customWidth="1"/>
    <col min="15117" max="15117" width="27.54296875" customWidth="1"/>
    <col min="15118" max="15118" width="1.81640625" customWidth="1"/>
    <col min="15119" max="15120" width="27.7265625" customWidth="1"/>
    <col min="15121" max="15121" width="19.7265625" customWidth="1"/>
    <col min="15122" max="15122" width="16.7265625" customWidth="1"/>
    <col min="15123" max="15123" width="1.7265625" customWidth="1"/>
    <col min="15361" max="15361" width="1.54296875" customWidth="1"/>
    <col min="15362" max="15362" width="19.7265625" customWidth="1"/>
    <col min="15363" max="15363" width="11.7265625" customWidth="1"/>
    <col min="15364" max="15364" width="27.54296875" customWidth="1"/>
    <col min="15365" max="15365" width="23.54296875" customWidth="1"/>
    <col min="15366" max="15366" width="1.7265625" customWidth="1"/>
    <col min="15367" max="15367" width="39.54296875" customWidth="1"/>
    <col min="15368" max="15368" width="15.7265625" customWidth="1"/>
    <col min="15369" max="15371" width="27.7265625" customWidth="1"/>
    <col min="15372" max="15372" width="18.81640625" customWidth="1"/>
    <col min="15373" max="15373" width="27.54296875" customWidth="1"/>
    <col min="15374" max="15374" width="1.81640625" customWidth="1"/>
    <col min="15375" max="15376" width="27.7265625" customWidth="1"/>
    <col min="15377" max="15377" width="19.7265625" customWidth="1"/>
    <col min="15378" max="15378" width="16.7265625" customWidth="1"/>
    <col min="15379" max="15379" width="1.7265625" customWidth="1"/>
    <col min="15617" max="15617" width="1.54296875" customWidth="1"/>
    <col min="15618" max="15618" width="19.7265625" customWidth="1"/>
    <col min="15619" max="15619" width="11.7265625" customWidth="1"/>
    <col min="15620" max="15620" width="27.54296875" customWidth="1"/>
    <col min="15621" max="15621" width="23.54296875" customWidth="1"/>
    <col min="15622" max="15622" width="1.7265625" customWidth="1"/>
    <col min="15623" max="15623" width="39.54296875" customWidth="1"/>
    <col min="15624" max="15624" width="15.7265625" customWidth="1"/>
    <col min="15625" max="15627" width="27.7265625" customWidth="1"/>
    <col min="15628" max="15628" width="18.81640625" customWidth="1"/>
    <col min="15629" max="15629" width="27.54296875" customWidth="1"/>
    <col min="15630" max="15630" width="1.81640625" customWidth="1"/>
    <col min="15631" max="15632" width="27.7265625" customWidth="1"/>
    <col min="15633" max="15633" width="19.7265625" customWidth="1"/>
    <col min="15634" max="15634" width="16.7265625" customWidth="1"/>
    <col min="15635" max="15635" width="1.7265625" customWidth="1"/>
    <col min="15873" max="15873" width="1.54296875" customWidth="1"/>
    <col min="15874" max="15874" width="19.7265625" customWidth="1"/>
    <col min="15875" max="15875" width="11.7265625" customWidth="1"/>
    <col min="15876" max="15876" width="27.54296875" customWidth="1"/>
    <col min="15877" max="15877" width="23.54296875" customWidth="1"/>
    <col min="15878" max="15878" width="1.7265625" customWidth="1"/>
    <col min="15879" max="15879" width="39.54296875" customWidth="1"/>
    <col min="15880" max="15880" width="15.7265625" customWidth="1"/>
    <col min="15881" max="15883" width="27.7265625" customWidth="1"/>
    <col min="15884" max="15884" width="18.81640625" customWidth="1"/>
    <col min="15885" max="15885" width="27.54296875" customWidth="1"/>
    <col min="15886" max="15886" width="1.81640625" customWidth="1"/>
    <col min="15887" max="15888" width="27.7265625" customWidth="1"/>
    <col min="15889" max="15889" width="19.7265625" customWidth="1"/>
    <col min="15890" max="15890" width="16.7265625" customWidth="1"/>
    <col min="15891" max="15891" width="1.7265625" customWidth="1"/>
    <col min="16129" max="16129" width="1.54296875" customWidth="1"/>
    <col min="16130" max="16130" width="19.7265625" customWidth="1"/>
    <col min="16131" max="16131" width="11.7265625" customWidth="1"/>
    <col min="16132" max="16132" width="27.54296875" customWidth="1"/>
    <col min="16133" max="16133" width="23.54296875" customWidth="1"/>
    <col min="16134" max="16134" width="1.7265625" customWidth="1"/>
    <col min="16135" max="16135" width="39.54296875" customWidth="1"/>
    <col min="16136" max="16136" width="15.7265625" customWidth="1"/>
    <col min="16137" max="16139" width="27.7265625" customWidth="1"/>
    <col min="16140" max="16140" width="18.81640625" customWidth="1"/>
    <col min="16141" max="16141" width="27.54296875" customWidth="1"/>
    <col min="16142" max="16142" width="1.81640625" customWidth="1"/>
    <col min="16143" max="16144" width="27.7265625" customWidth="1"/>
    <col min="16145" max="16145" width="19.7265625" customWidth="1"/>
    <col min="16146" max="16146" width="16.7265625" customWidth="1"/>
    <col min="16147" max="16147" width="1.7265625" customWidth="1"/>
  </cols>
  <sheetData>
    <row r="2" spans="1:22" ht="15" customHeight="1" x14ac:dyDescent="0.25"/>
    <row r="3" spans="1:22" ht="15" customHeight="1" x14ac:dyDescent="0.25">
      <c r="B3" s="1"/>
      <c r="C3" s="1"/>
      <c r="D3" s="1"/>
      <c r="E3" s="2"/>
      <c r="F3" s="3"/>
      <c r="G3" s="4"/>
      <c r="H3" s="4"/>
      <c r="I3" s="4"/>
      <c r="J3" s="4"/>
      <c r="K3" s="4"/>
      <c r="L3" s="4"/>
      <c r="M3" s="4"/>
      <c r="N3" s="3"/>
      <c r="O3" s="5"/>
      <c r="P3" s="5"/>
      <c r="Q3" s="5"/>
      <c r="R3" s="5"/>
      <c r="S3" s="6"/>
      <c r="T3" s="6"/>
      <c r="U3" s="6"/>
      <c r="V3" s="6"/>
    </row>
    <row r="4" spans="1:22" ht="54" customHeight="1" thickBot="1" x14ac:dyDescent="0.95">
      <c r="B4" s="7" t="s">
        <v>0</v>
      </c>
      <c r="C4" s="8"/>
      <c r="D4" s="8"/>
      <c r="E4" s="8"/>
      <c r="F4" s="8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/>
      <c r="T4" s="11"/>
      <c r="U4" s="11"/>
      <c r="V4" s="11"/>
    </row>
    <row r="5" spans="1:22" ht="30" customHeight="1" thickBot="1" x14ac:dyDescent="0.4">
      <c r="A5" s="12"/>
      <c r="B5" s="13"/>
      <c r="C5" s="14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5"/>
      <c r="S5" s="6"/>
      <c r="T5" s="6"/>
      <c r="U5" s="6"/>
      <c r="V5" s="6"/>
    </row>
    <row r="6" spans="1:22" ht="30" customHeight="1" thickBot="1" x14ac:dyDescent="0.65">
      <c r="A6" s="12"/>
      <c r="B6" s="16" t="s">
        <v>1</v>
      </c>
      <c r="C6" s="17" t="s">
        <v>2</v>
      </c>
      <c r="D6" s="18"/>
      <c r="E6" s="19"/>
      <c r="F6" s="20"/>
      <c r="G6" s="13"/>
      <c r="H6" s="13" t="s">
        <v>3</v>
      </c>
      <c r="I6" s="17" t="s">
        <v>4</v>
      </c>
      <c r="J6" s="18"/>
      <c r="K6" s="19"/>
      <c r="L6" s="21"/>
      <c r="M6" s="22" t="s">
        <v>5</v>
      </c>
      <c r="N6" s="22"/>
      <c r="O6" s="23">
        <v>4</v>
      </c>
      <c r="P6" s="24"/>
      <c r="Q6" s="25"/>
      <c r="R6" s="26"/>
      <c r="S6" s="6"/>
      <c r="T6" s="6"/>
      <c r="U6" s="6"/>
      <c r="V6" s="6"/>
    </row>
    <row r="7" spans="1:22" ht="30" customHeight="1" thickBot="1" x14ac:dyDescent="0.4">
      <c r="A7" s="12"/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9"/>
      <c r="S7" s="6"/>
      <c r="T7" s="6"/>
      <c r="U7" s="6"/>
      <c r="V7" s="6"/>
    </row>
    <row r="8" spans="1:22" ht="17.5" x14ac:dyDescent="0.35">
      <c r="B8" s="30"/>
      <c r="C8" s="30"/>
      <c r="D8" s="30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6"/>
      <c r="T8" s="6"/>
      <c r="U8" s="6"/>
      <c r="V8" s="6"/>
    </row>
    <row r="9" spans="1:22" ht="18" thickBot="1" x14ac:dyDescent="0.4"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U9" s="6"/>
    </row>
    <row r="10" spans="1:22" ht="18" thickBot="1" x14ac:dyDescent="0.4">
      <c r="B10" s="32" t="s">
        <v>6</v>
      </c>
      <c r="C10" s="33"/>
      <c r="D10" s="34" t="s">
        <v>7</v>
      </c>
      <c r="E10" s="35" t="s">
        <v>8</v>
      </c>
      <c r="F10" s="36"/>
      <c r="G10" s="36"/>
      <c r="H10" s="36"/>
      <c r="I10" s="36"/>
      <c r="J10" s="36"/>
      <c r="K10" s="36"/>
      <c r="L10" s="37"/>
      <c r="M10" s="35" t="s">
        <v>9</v>
      </c>
      <c r="N10" s="36"/>
      <c r="O10" s="36"/>
      <c r="P10" s="36"/>
      <c r="Q10" s="36"/>
      <c r="R10" s="37"/>
      <c r="U10" s="6"/>
    </row>
    <row r="11" spans="1:22" ht="18" thickBot="1" x14ac:dyDescent="0.4">
      <c r="B11" s="38"/>
      <c r="C11" s="39"/>
      <c r="D11" s="40" t="s">
        <v>10</v>
      </c>
      <c r="E11" s="41"/>
      <c r="F11" s="41"/>
      <c r="G11" s="41"/>
      <c r="H11" s="42"/>
      <c r="I11" s="43"/>
      <c r="J11" s="34" t="s">
        <v>11</v>
      </c>
      <c r="K11" s="34" t="s">
        <v>12</v>
      </c>
      <c r="L11" s="34" t="s">
        <v>13</v>
      </c>
      <c r="M11" s="44" t="s">
        <v>14</v>
      </c>
      <c r="N11" s="40"/>
      <c r="O11" s="34" t="s">
        <v>15</v>
      </c>
      <c r="P11" s="34" t="s">
        <v>16</v>
      </c>
      <c r="Q11" s="45" t="s">
        <v>17</v>
      </c>
      <c r="R11" s="46"/>
      <c r="U11" s="6"/>
    </row>
    <row r="12" spans="1:22" ht="17.5" x14ac:dyDescent="0.35">
      <c r="B12" s="38"/>
      <c r="C12" s="39" t="s">
        <v>18</v>
      </c>
      <c r="D12" s="47" t="s">
        <v>19</v>
      </c>
      <c r="E12" s="48"/>
      <c r="F12" s="49"/>
      <c r="G12" s="50"/>
      <c r="H12" s="51"/>
      <c r="I12" s="33" t="s">
        <v>20</v>
      </c>
      <c r="J12" s="33" t="s">
        <v>21</v>
      </c>
      <c r="K12" s="33" t="s">
        <v>21</v>
      </c>
      <c r="L12" s="33" t="s">
        <v>22</v>
      </c>
      <c r="M12" s="52"/>
      <c r="N12" s="53"/>
      <c r="O12" s="33"/>
      <c r="P12" s="47"/>
      <c r="Q12" s="33"/>
      <c r="R12" s="54"/>
      <c r="U12" s="6"/>
    </row>
    <row r="13" spans="1:22" ht="17.5" x14ac:dyDescent="0.35">
      <c r="B13" s="38"/>
      <c r="C13" s="39" t="s">
        <v>23</v>
      </c>
      <c r="D13" s="55" t="s">
        <v>24</v>
      </c>
      <c r="E13" s="56" t="s">
        <v>25</v>
      </c>
      <c r="F13" s="57"/>
      <c r="G13" s="58" t="s">
        <v>26</v>
      </c>
      <c r="H13" s="59"/>
      <c r="I13" s="39" t="s">
        <v>27</v>
      </c>
      <c r="J13" s="39" t="s">
        <v>28</v>
      </c>
      <c r="K13" s="39" t="s">
        <v>29</v>
      </c>
      <c r="L13" s="39" t="s">
        <v>30</v>
      </c>
      <c r="M13" s="60" t="s">
        <v>31</v>
      </c>
      <c r="N13" s="61"/>
      <c r="O13" s="39" t="s">
        <v>32</v>
      </c>
      <c r="P13" s="39" t="s">
        <v>32</v>
      </c>
      <c r="Q13" s="39" t="s">
        <v>33</v>
      </c>
      <c r="R13" s="39" t="s">
        <v>34</v>
      </c>
      <c r="U13" s="6"/>
    </row>
    <row r="14" spans="1:22" ht="17.5" x14ac:dyDescent="0.35">
      <c r="B14" s="38"/>
      <c r="C14" s="39"/>
      <c r="D14" s="55" t="s">
        <v>35</v>
      </c>
      <c r="E14" s="56" t="s">
        <v>36</v>
      </c>
      <c r="F14" s="57"/>
      <c r="G14" s="58"/>
      <c r="H14" s="59"/>
      <c r="I14" s="39" t="s">
        <v>37</v>
      </c>
      <c r="J14" s="39" t="s">
        <v>38</v>
      </c>
      <c r="K14" s="39" t="s">
        <v>39</v>
      </c>
      <c r="L14" s="39" t="s">
        <v>40</v>
      </c>
      <c r="M14" s="31" t="s">
        <v>41</v>
      </c>
      <c r="N14" s="61"/>
      <c r="O14" s="39" t="s">
        <v>42</v>
      </c>
      <c r="P14" s="31" t="s">
        <v>39</v>
      </c>
      <c r="Q14" s="39" t="s">
        <v>43</v>
      </c>
      <c r="R14" s="39" t="s">
        <v>44</v>
      </c>
      <c r="U14" s="6"/>
    </row>
    <row r="15" spans="1:22" ht="18" thickBot="1" x14ac:dyDescent="0.4">
      <c r="B15" s="62"/>
      <c r="C15" s="63"/>
      <c r="D15" s="64"/>
      <c r="E15" s="65"/>
      <c r="F15" s="66"/>
      <c r="G15" s="65"/>
      <c r="H15" s="66"/>
      <c r="I15" s="63" t="s">
        <v>35</v>
      </c>
      <c r="J15" s="63" t="s">
        <v>35</v>
      </c>
      <c r="K15" s="63" t="s">
        <v>35</v>
      </c>
      <c r="L15" s="63" t="s">
        <v>35</v>
      </c>
      <c r="M15" s="60" t="s">
        <v>35</v>
      </c>
      <c r="N15" s="67"/>
      <c r="O15" s="63" t="s">
        <v>35</v>
      </c>
      <c r="P15" s="68" t="s">
        <v>35</v>
      </c>
      <c r="Q15" s="63" t="s">
        <v>35</v>
      </c>
      <c r="R15" s="69"/>
      <c r="U15" s="6"/>
    </row>
    <row r="16" spans="1:22" ht="47.25" customHeight="1" thickBot="1" x14ac:dyDescent="0.4">
      <c r="A16" s="12"/>
      <c r="B16" s="61"/>
      <c r="C16" s="30"/>
      <c r="D16" s="70"/>
      <c r="E16" s="35"/>
      <c r="F16" s="37"/>
      <c r="G16" s="35"/>
      <c r="H16" s="37"/>
      <c r="I16" s="70"/>
      <c r="J16" s="70"/>
      <c r="K16" s="61"/>
      <c r="L16" s="54"/>
      <c r="M16" s="35"/>
      <c r="N16" s="37"/>
      <c r="O16" s="70"/>
      <c r="P16" s="61"/>
      <c r="Q16" s="54"/>
      <c r="R16" s="54"/>
      <c r="U16" s="6"/>
    </row>
    <row r="17" spans="1:21" ht="47.25" customHeight="1" thickBot="1" x14ac:dyDescent="0.4">
      <c r="A17" s="12"/>
      <c r="B17" s="71"/>
      <c r="C17" s="72"/>
      <c r="D17" s="71"/>
      <c r="E17" s="73"/>
      <c r="F17" s="74"/>
      <c r="G17" s="73"/>
      <c r="H17" s="74"/>
      <c r="I17" s="71"/>
      <c r="J17" s="71"/>
      <c r="K17" s="75"/>
      <c r="L17" s="71"/>
      <c r="M17" s="73"/>
      <c r="N17" s="74"/>
      <c r="O17" s="71"/>
      <c r="P17" s="71"/>
      <c r="Q17" s="71"/>
      <c r="R17" s="71"/>
      <c r="U17" s="6"/>
    </row>
    <row r="18" spans="1:21" ht="47.25" customHeight="1" thickBot="1" x14ac:dyDescent="0.4">
      <c r="A18" s="12"/>
      <c r="B18" s="61"/>
      <c r="C18" s="30"/>
      <c r="D18" s="70"/>
      <c r="E18" s="35"/>
      <c r="F18" s="37"/>
      <c r="G18" s="35"/>
      <c r="H18" s="37"/>
      <c r="I18" s="70"/>
      <c r="J18" s="70" t="s">
        <v>45</v>
      </c>
      <c r="K18" s="61"/>
      <c r="L18" s="54"/>
      <c r="M18" s="35"/>
      <c r="N18" s="37"/>
      <c r="O18" s="70"/>
      <c r="P18" s="61"/>
      <c r="Q18" s="54"/>
      <c r="R18" s="54"/>
      <c r="U18" s="6"/>
    </row>
    <row r="19" spans="1:21" ht="47.25" customHeight="1" thickBot="1" x14ac:dyDescent="0.4">
      <c r="A19" s="12"/>
      <c r="B19" s="71"/>
      <c r="C19" s="72"/>
      <c r="D19" s="71"/>
      <c r="E19" s="73"/>
      <c r="F19" s="74"/>
      <c r="G19" s="73"/>
      <c r="H19" s="74"/>
      <c r="I19" s="71"/>
      <c r="J19" s="71"/>
      <c r="K19" s="75"/>
      <c r="L19" s="71"/>
      <c r="M19" s="73"/>
      <c r="N19" s="74"/>
      <c r="O19" s="71"/>
      <c r="P19" s="71"/>
      <c r="Q19" s="71"/>
      <c r="R19" s="71"/>
    </row>
    <row r="20" spans="1:21" ht="47.25" customHeight="1" thickBot="1" x14ac:dyDescent="0.4">
      <c r="A20" s="12"/>
      <c r="B20" s="61"/>
      <c r="C20" s="30"/>
      <c r="D20" s="70"/>
      <c r="E20" s="35"/>
      <c r="F20" s="37"/>
      <c r="G20" s="35"/>
      <c r="H20" s="37"/>
      <c r="I20" s="70"/>
      <c r="J20" s="70"/>
      <c r="K20" s="61"/>
      <c r="L20" s="54"/>
      <c r="M20" s="35"/>
      <c r="N20" s="37"/>
      <c r="O20" s="70"/>
      <c r="P20" s="61"/>
      <c r="Q20" s="54"/>
      <c r="R20" s="54"/>
    </row>
    <row r="21" spans="1:21" ht="47.25" customHeight="1" thickBot="1" x14ac:dyDescent="0.4">
      <c r="A21" s="12"/>
      <c r="B21" s="71"/>
      <c r="C21" s="72"/>
      <c r="D21" s="71"/>
      <c r="E21" s="73"/>
      <c r="F21" s="74"/>
      <c r="G21" s="73"/>
      <c r="H21" s="74"/>
      <c r="I21" s="71"/>
      <c r="J21" s="71"/>
      <c r="K21" s="75"/>
      <c r="L21" s="71"/>
      <c r="M21" s="73"/>
      <c r="N21" s="74"/>
      <c r="O21" s="71"/>
      <c r="P21" s="71"/>
      <c r="Q21" s="71"/>
      <c r="R21" s="71"/>
    </row>
    <row r="22" spans="1:21" ht="47.25" customHeight="1" thickBot="1" x14ac:dyDescent="0.4">
      <c r="A22" s="12"/>
      <c r="B22" s="61"/>
      <c r="C22" s="30"/>
      <c r="D22" s="70"/>
      <c r="E22" s="35"/>
      <c r="F22" s="37"/>
      <c r="G22" s="35"/>
      <c r="H22" s="37"/>
      <c r="I22" s="70"/>
      <c r="J22" s="70"/>
      <c r="K22" s="61"/>
      <c r="L22" s="54"/>
      <c r="M22" s="35"/>
      <c r="N22" s="37"/>
      <c r="O22" s="70"/>
      <c r="P22" s="61"/>
      <c r="Q22" s="54"/>
      <c r="R22" s="54"/>
    </row>
    <row r="23" spans="1:21" ht="47.25" customHeight="1" thickBot="1" x14ac:dyDescent="0.4">
      <c r="A23" s="12"/>
      <c r="B23" s="71"/>
      <c r="C23" s="72"/>
      <c r="D23" s="71"/>
      <c r="E23" s="73"/>
      <c r="F23" s="74"/>
      <c r="G23" s="73"/>
      <c r="H23" s="74"/>
      <c r="I23" s="71"/>
      <c r="J23" s="71"/>
      <c r="K23" s="75"/>
      <c r="L23" s="71"/>
      <c r="M23" s="73"/>
      <c r="N23" s="74"/>
      <c r="O23" s="71"/>
      <c r="P23" s="71"/>
      <c r="Q23" s="71"/>
      <c r="R23" s="71"/>
    </row>
    <row r="24" spans="1:21" ht="47.25" customHeight="1" thickBot="1" x14ac:dyDescent="0.4">
      <c r="A24" s="12"/>
      <c r="B24" s="61"/>
      <c r="C24" s="30"/>
      <c r="D24" s="70"/>
      <c r="E24" s="35"/>
      <c r="F24" s="37"/>
      <c r="G24" s="35"/>
      <c r="H24" s="37"/>
      <c r="I24" s="70"/>
      <c r="J24" s="70"/>
      <c r="K24" s="61"/>
      <c r="L24" s="54"/>
      <c r="M24" s="35"/>
      <c r="N24" s="37"/>
      <c r="O24" s="70"/>
      <c r="P24" s="61"/>
      <c r="Q24" s="54"/>
      <c r="R24" s="54"/>
    </row>
    <row r="25" spans="1:21" ht="47.25" customHeight="1" thickBot="1" x14ac:dyDescent="0.4">
      <c r="A25" s="12"/>
      <c r="B25" s="71"/>
      <c r="C25" s="72"/>
      <c r="D25" s="71"/>
      <c r="E25" s="73"/>
      <c r="F25" s="74"/>
      <c r="G25" s="73"/>
      <c r="H25" s="74"/>
      <c r="I25" s="71"/>
      <c r="J25" s="71"/>
      <c r="K25" s="75"/>
      <c r="L25" s="71"/>
      <c r="M25" s="73"/>
      <c r="N25" s="74"/>
      <c r="O25" s="71"/>
      <c r="P25" s="71"/>
      <c r="Q25" s="71"/>
      <c r="R25" s="71"/>
    </row>
    <row r="26" spans="1:21" ht="47.25" customHeight="1" thickBot="1" x14ac:dyDescent="0.4">
      <c r="A26" s="12"/>
      <c r="B26" s="61"/>
      <c r="C26" s="30"/>
      <c r="D26" s="70"/>
      <c r="E26" s="35"/>
      <c r="F26" s="37"/>
      <c r="G26" s="35"/>
      <c r="H26" s="37"/>
      <c r="I26" s="70"/>
      <c r="J26" s="70"/>
      <c r="K26" s="61"/>
      <c r="L26" s="54"/>
      <c r="M26" s="35"/>
      <c r="N26" s="37"/>
      <c r="O26" s="70"/>
      <c r="P26" s="61"/>
      <c r="Q26" s="54"/>
      <c r="R26" s="54"/>
    </row>
    <row r="27" spans="1:21" ht="47.25" customHeight="1" thickBot="1" x14ac:dyDescent="0.4">
      <c r="A27" s="12"/>
      <c r="B27" s="71"/>
      <c r="C27" s="72"/>
      <c r="D27" s="71"/>
      <c r="E27" s="73"/>
      <c r="F27" s="74"/>
      <c r="G27" s="73"/>
      <c r="H27" s="74"/>
      <c r="I27" s="71"/>
      <c r="J27" s="71"/>
      <c r="K27" s="75"/>
      <c r="L27" s="71"/>
      <c r="M27" s="73"/>
      <c r="N27" s="74"/>
      <c r="O27" s="71"/>
      <c r="P27" s="71"/>
      <c r="Q27" s="71"/>
      <c r="R27" s="71"/>
    </row>
    <row r="28" spans="1:21" ht="47.25" customHeight="1" thickBot="1" x14ac:dyDescent="0.4">
      <c r="A28" s="12"/>
      <c r="B28" s="61"/>
      <c r="C28" s="30"/>
      <c r="D28" s="70"/>
      <c r="E28" s="35"/>
      <c r="F28" s="37"/>
      <c r="G28" s="35"/>
      <c r="H28" s="37"/>
      <c r="I28" s="70"/>
      <c r="J28" s="70"/>
      <c r="K28" s="61"/>
      <c r="L28" s="54"/>
      <c r="M28" s="35"/>
      <c r="N28" s="37"/>
      <c r="O28" s="70"/>
      <c r="P28" s="61"/>
      <c r="Q28" s="54"/>
      <c r="R28" s="54"/>
    </row>
    <row r="29" spans="1:21" ht="47.25" customHeight="1" thickBot="1" x14ac:dyDescent="0.4">
      <c r="A29" s="12"/>
      <c r="B29" s="71"/>
      <c r="C29" s="72"/>
      <c r="D29" s="71"/>
      <c r="E29" s="73"/>
      <c r="F29" s="74"/>
      <c r="G29" s="73"/>
      <c r="H29" s="74"/>
      <c r="I29" s="71"/>
      <c r="J29" s="71"/>
      <c r="K29" s="75"/>
      <c r="L29" s="71"/>
      <c r="M29" s="73"/>
      <c r="N29" s="74"/>
      <c r="O29" s="71"/>
      <c r="P29" s="71"/>
      <c r="Q29" s="71"/>
      <c r="R29" s="71"/>
    </row>
    <row r="30" spans="1:21" ht="47.25" customHeight="1" thickBot="1" x14ac:dyDescent="0.4">
      <c r="A30" s="12"/>
      <c r="B30" s="76"/>
      <c r="C30" s="41"/>
      <c r="D30" s="76"/>
      <c r="E30" s="35"/>
      <c r="F30" s="37"/>
      <c r="G30" s="35"/>
      <c r="H30" s="37"/>
      <c r="I30" s="76"/>
      <c r="J30" s="76"/>
      <c r="K30" s="43"/>
      <c r="L30" s="76"/>
      <c r="M30" s="35"/>
      <c r="N30" s="37"/>
      <c r="O30" s="76"/>
      <c r="P30" s="43"/>
      <c r="Q30" s="76"/>
      <c r="R30" s="76"/>
    </row>
    <row r="31" spans="1:21" ht="27" customHeight="1" x14ac:dyDescent="0.25"/>
    <row r="32" spans="1:21" ht="27" customHeight="1" x14ac:dyDescent="0.5">
      <c r="B32" s="77" t="s">
        <v>46</v>
      </c>
      <c r="C32" s="78"/>
      <c r="D32" s="78"/>
      <c r="E32" s="78"/>
      <c r="F32" s="78"/>
      <c r="G32" s="78"/>
      <c r="J32" s="79" t="s">
        <v>47</v>
      </c>
      <c r="L32" s="79"/>
      <c r="M32" s="79"/>
      <c r="N32" s="79"/>
      <c r="O32" s="79"/>
      <c r="P32" s="79" t="s">
        <v>48</v>
      </c>
      <c r="Q32" s="79"/>
    </row>
    <row r="33" spans="2:17" ht="27" customHeight="1" x14ac:dyDescent="0.65">
      <c r="B33" s="77" t="s">
        <v>49</v>
      </c>
      <c r="C33" s="77"/>
      <c r="D33" s="78"/>
      <c r="E33" s="78"/>
      <c r="F33" s="78"/>
      <c r="G33" s="78"/>
      <c r="H33" s="80"/>
      <c r="I33" s="80"/>
      <c r="J33" s="81" t="s">
        <v>50</v>
      </c>
      <c r="K33" s="82"/>
      <c r="L33" s="81"/>
      <c r="M33" s="81"/>
      <c r="N33" s="81"/>
      <c r="O33" s="81"/>
      <c r="P33" s="81" t="s">
        <v>51</v>
      </c>
      <c r="Q33" s="81"/>
    </row>
    <row r="34" spans="2:17" ht="27" customHeight="1" x14ac:dyDescent="0.5">
      <c r="B34" s="78" t="s">
        <v>52</v>
      </c>
      <c r="C34" s="78"/>
      <c r="D34" s="78"/>
      <c r="E34" s="78"/>
      <c r="F34" s="78"/>
      <c r="G34" s="78"/>
      <c r="H34" s="80"/>
      <c r="I34" s="80"/>
      <c r="J34" s="83" t="s">
        <v>53</v>
      </c>
      <c r="K34" s="80"/>
      <c r="L34" s="83"/>
      <c r="M34" s="83"/>
      <c r="N34" s="81"/>
      <c r="O34" s="81"/>
      <c r="P34" s="83" t="s">
        <v>54</v>
      </c>
      <c r="Q34" s="83"/>
    </row>
    <row r="35" spans="2:17" ht="27" customHeight="1" x14ac:dyDescent="0.5">
      <c r="B35" s="78" t="s">
        <v>55</v>
      </c>
      <c r="C35" s="78"/>
      <c r="D35" s="78"/>
      <c r="E35" s="78"/>
      <c r="F35" s="78"/>
      <c r="G35" s="78"/>
      <c r="H35" s="80"/>
      <c r="I35" s="80"/>
      <c r="J35" s="81" t="s">
        <v>56</v>
      </c>
      <c r="K35" s="80"/>
      <c r="L35" s="81"/>
      <c r="M35" s="81"/>
      <c r="N35" s="81"/>
      <c r="O35" s="81"/>
      <c r="P35" s="81" t="s">
        <v>57</v>
      </c>
      <c r="Q35" s="81"/>
    </row>
  </sheetData>
  <mergeCells count="59">
    <mergeCell ref="E29:F29"/>
    <mergeCell ref="G29:H29"/>
    <mergeCell ref="M29:N29"/>
    <mergeCell ref="E30:F30"/>
    <mergeCell ref="G30:H30"/>
    <mergeCell ref="M30:N30"/>
    <mergeCell ref="E27:F27"/>
    <mergeCell ref="G27:H27"/>
    <mergeCell ref="M27:N27"/>
    <mergeCell ref="E28:F28"/>
    <mergeCell ref="G28:H28"/>
    <mergeCell ref="M28:N28"/>
    <mergeCell ref="E25:F25"/>
    <mergeCell ref="G25:H25"/>
    <mergeCell ref="M25:N25"/>
    <mergeCell ref="E26:F26"/>
    <mergeCell ref="G26:H26"/>
    <mergeCell ref="M26:N26"/>
    <mergeCell ref="E23:F23"/>
    <mergeCell ref="G23:H23"/>
    <mergeCell ref="M23:N23"/>
    <mergeCell ref="E24:F24"/>
    <mergeCell ref="G24:H24"/>
    <mergeCell ref="M24:N24"/>
    <mergeCell ref="E21:F21"/>
    <mergeCell ref="G21:H21"/>
    <mergeCell ref="M21:N21"/>
    <mergeCell ref="E22:F22"/>
    <mergeCell ref="G22:H22"/>
    <mergeCell ref="M22:N22"/>
    <mergeCell ref="E19:F19"/>
    <mergeCell ref="G19:H19"/>
    <mergeCell ref="M19:N19"/>
    <mergeCell ref="E20:F20"/>
    <mergeCell ref="G20:H20"/>
    <mergeCell ref="M20:N20"/>
    <mergeCell ref="M16:N16"/>
    <mergeCell ref="E17:F17"/>
    <mergeCell ref="G17:H17"/>
    <mergeCell ref="M17:N17"/>
    <mergeCell ref="E18:F18"/>
    <mergeCell ref="G18:H18"/>
    <mergeCell ref="M18:N18"/>
    <mergeCell ref="G13:H14"/>
    <mergeCell ref="E14:F14"/>
    <mergeCell ref="E15:F15"/>
    <mergeCell ref="G15:H15"/>
    <mergeCell ref="E16:F16"/>
    <mergeCell ref="G16:H16"/>
    <mergeCell ref="C6:E6"/>
    <mergeCell ref="I6:K6"/>
    <mergeCell ref="O6:Q6"/>
    <mergeCell ref="B10:B15"/>
    <mergeCell ref="E10:L10"/>
    <mergeCell ref="M10:R10"/>
    <mergeCell ref="Q11:R11"/>
    <mergeCell ref="E12:F12"/>
    <mergeCell ref="G12:H12"/>
    <mergeCell ref="E13:F13"/>
  </mergeCells>
  <pageMargins left="0.23622047244094491" right="0" top="0.59055118110236227" bottom="0.19685039370078741" header="0.31496062992125984" footer="0.31496062992125984"/>
  <pageSetup paperSize="5" scale="45" orientation="landscape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BERITA ACARA PEMBONGKARAN</vt:lpstr>
      <vt:lpstr>Catatan Persediaan BBM,</vt:lpstr>
      <vt:lpstr>'Catatan Persediaan BBM,'!Print_Area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Ariandi Alnotri</dc:creator>
  <cp:lastModifiedBy>Ariandi Alnotri</cp:lastModifiedBy>
  <cp:lastPrinted>2026-10-02T15:22:21Z</cp:lastPrinted>
  <dcterms:created xsi:type="dcterms:W3CDTF">2026-10-02T14:41:57Z</dcterms:created>
  <dcterms:modified xsi:type="dcterms:W3CDTF">2026-10-02T15:24:23Z</dcterms:modified>
</cp:coreProperties>
</file>